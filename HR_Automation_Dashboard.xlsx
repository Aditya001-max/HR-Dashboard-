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India Employees" sheetId="3" state="visible" r:id="rId5"/>
    <sheet name="US Employees" sheetId="4" state="visible" r:id="rId6"/>
    <sheet name="Payroll" sheetId="5" state="visible" r:id="rId7"/>
    <sheet name="Attendance &amp; Leave" sheetId="6" state="visible" r:id="rId8"/>
    <sheet name="Performance Goals" sheetId="7" state="visible" r:id="rId9"/>
    <sheet name="Recruitment" sheetId="8" state="visible" r:id="rId10"/>
    <sheet name="Compliance Calendar" sheetId="9" state="visible" r:id="rId11"/>
    <sheet name="Training &amp; Skills" sheetId="10" state="visible" r:id="rId12"/>
    <sheet name="Attrition Risk" sheetId="11" state="visible" r:id="rId13"/>
    <sheet name="RM Data" sheetId="12" state="visible" r:id="rId14"/>
    <sheet name="Finance" sheetId="13" state="visible" r:id="rId15"/>
    <sheet name="Productivity" sheetId="14" state="visible" r:id="rId16"/>
    <sheet name="Risk Report" sheetId="15" state="visible" r:id="rId17"/>
    <sheet name="Offboarded Resources" sheetId="16" state="visible" r:id="rId18"/>
  </sheets>
  <definedNames>
    <definedName function="false" hidden="false" localSheetId="5" name="_xlnm.Print_Titles" vbProcedure="false">'Attendance &amp; Leave'!$1:$4</definedName>
    <definedName function="false" hidden="false" localSheetId="10" name="_xlnm.Print_Titles" vbProcedure="false">'Attrition Risk'!$1:$4</definedName>
    <definedName function="false" hidden="false" localSheetId="8" name="_xlnm.Print_Titles" vbProcedure="false">'Compliance Calendar'!$1:$4</definedName>
    <definedName function="false" hidden="false" localSheetId="0" name="_xlnm.Print_Titles" vbProcedure="false">Dashboard!$1:$3</definedName>
    <definedName function="false" hidden="false" localSheetId="12" name="_xlnm.Print_Titles" vbProcedure="false">Finance!$1:$4</definedName>
    <definedName function="false" hidden="true" localSheetId="12" name="_xlnm._FilterDatabase" vbProcedure="false">Finance!$A$4:$I$120</definedName>
    <definedName function="false" hidden="false" localSheetId="2" name="_xlnm.Print_Titles" vbProcedure="false">'India Employees'!$1:$4</definedName>
    <definedName function="false" hidden="true" localSheetId="2" name="_xlnm._FilterDatabase" vbProcedure="false">'India Employees'!$A$4:$K$85</definedName>
    <definedName function="false" hidden="false" localSheetId="15" name="_xlnm.Print_Titles" vbProcedure="false">'Offboarded Resources'!$1:$4</definedName>
    <definedName function="false" hidden="true" localSheetId="15" name="_xlnm._FilterDatabase" vbProcedure="false">'Offboarded Resources'!$A$4:$J$30</definedName>
    <definedName function="false" hidden="false" localSheetId="4" name="_xlnm.Print_Titles" vbProcedure="false">Payroll!$1:$4</definedName>
    <definedName function="false" hidden="false" localSheetId="6" name="_xlnm.Print_Titles" vbProcedure="false">'Performance Goals'!$1:$4</definedName>
    <definedName function="false" hidden="false" localSheetId="13" name="_xlnm.Print_Titles" vbProcedure="false">Productivity!$1:$4</definedName>
    <definedName function="false" hidden="true" localSheetId="13" name="_xlnm._FilterDatabase" vbProcedure="false">Productivity!$A$4:$G$120</definedName>
    <definedName function="false" hidden="false" localSheetId="7" name="_xlnm.Print_Titles" vbProcedure="false">Recruitment!$1:$4</definedName>
    <definedName function="false" hidden="false" localSheetId="14" name="_xlnm.Print_Titles" vbProcedure="false">'Risk Report'!$1:$4</definedName>
    <definedName function="false" hidden="true" localSheetId="14" name="_xlnm._FilterDatabase" vbProcedure="false">'Risk Report'!$A$4:$J$19</definedName>
    <definedName function="false" hidden="false" localSheetId="11" name="_xlnm.Print_Titles" vbProcedure="false">'RM Data'!$1:$4</definedName>
    <definedName function="false" hidden="true" localSheetId="11" name="_xlnm._FilterDatabase" vbProcedure="false">'RM Data'!$A$4:$F$179</definedName>
    <definedName function="false" hidden="false" localSheetId="9" name="_xlnm.Print_Titles" vbProcedure="false">'Training &amp; Skills'!$1:$4</definedName>
    <definedName function="false" hidden="false" localSheetId="3" name="_xlnm.Print_Titles" vbProcedure="false">'US Employees'!$1:$4</definedName>
    <definedName function="false" hidden="true" localSheetId="3" name="_xlnm._FilterDatabase" vbProcedure="false">'US Employees'!$A$4:$L$39</definedName>
    <definedName function="false" hidden="false" name="AttritionRiskData" vbProcedure="false">'Attrition Risk'!$A$5:$M$120</definedName>
    <definedName function="false" hidden="false" name="AttritionRiskDept" vbProcedure="false">'Attrition Risk'!$D$5:$D$120</definedName>
    <definedName function="false" hidden="false" name="AttritionRiskGeo" vbProcedure="false">'Attrition Risk'!$C$5:$C$120</definedName>
    <definedName function="false" hidden="false" name="AttritionRiskLevel" vbProcedure="false">'Attrition Risk'!$L$5:$L$120</definedName>
    <definedName function="false" hidden="false" name="AttritionRiskScore" vbProcedure="false">'Attrition Risk'!$K$5:$K$120</definedName>
    <definedName function="false" hidden="false" name="CandidateData" vbProcedure="false">Recruitment!$A$22:$I$92</definedName>
    <definedName function="false" hidden="false" name="CandidateSources" vbProcedure="false">Recruitment!$H$22:$H$92</definedName>
    <definedName function="false" hidden="false" name="CandidateStages" vbProcedure="false">Recruitment!$F$22:$F$92</definedName>
    <definedName function="false" hidden="false" name="ComplianceData" vbProcedure="false">'Compliance Calendar'!$A$5:$I$22</definedName>
    <definedName function="false" hidden="false" name="ComplianceDays" vbProcedure="false">'Compliance Calendar'!$H$5:$H$22</definedName>
    <definedName function="false" hidden="false" name="ComplianceGeo" vbProcedure="false">'Compliance Calendar'!$D$5:$D$22</definedName>
    <definedName function="false" hidden="false" name="ComplianceStatus" vbProcedure="false">'Compliance Calendar'!$I$5:$I$22</definedName>
    <definedName function="false" hidden="false" name="EnrollmentCompletion" vbProcedure="false">'Training &amp; Skills'!$H$18:$H$731</definedName>
    <definedName function="false" hidden="false" name="EnrollmentStatus" vbProcedure="false">'Training &amp; Skills'!$I$18:$I$731</definedName>
    <definedName function="false" hidden="false" name="FinanceAnnualINR" vbProcedure="false">Finance!$F$5:$F$120</definedName>
    <definedName function="false" hidden="false" name="FinanceAnnualUSD" vbProcedure="false">Finance!$H$5:$H$120</definedName>
    <definedName function="false" hidden="false" name="FinanceData" vbProcedure="false">Finance!$A$5:$I$120</definedName>
    <definedName function="false" hidden="false" name="FinanceDept" vbProcedure="false">Finance!$D$5:$D$120</definedName>
    <definedName function="false" hidden="false" name="FinanceGeo" vbProcedure="false">Finance!$C$5:$C$120</definedName>
    <definedName function="false" hidden="false" name="FinanceMonthlyINR" vbProcedure="false">Finance!$G$5:$G$120</definedName>
    <definedName function="false" hidden="false" name="FinanceMonthlyUSD" vbProcedure="false">Finance!$I$5:$I$120</definedName>
    <definedName function="false" hidden="false" name="GoalsAchievement" vbProcedure="false">'Performance Goals'!$I$5:$I$362</definedName>
    <definedName function="false" hidden="false" name="GoalsData" vbProcedure="false">'Performance Goals'!$A$5:$K$362</definedName>
    <definedName function="false" hidden="false" name="GoalsRating" vbProcedure="false">'Performance Goals'!$J$5:$J$362</definedName>
    <definedName function="false" hidden="false" name="GoalsStatus" vbProcedure="false">'Performance Goals'!$K$5:$K$362</definedName>
    <definedName function="false" hidden="false" name="IndiaData" vbProcedure="false">'India Employees'!$A$5:$K$85</definedName>
    <definedName function="false" hidden="false" name="IndiaDept" vbProcedure="false">'India Employees'!$C$5:$C$85</definedName>
    <definedName function="false" hidden="false" name="IndiaDOJ" vbProcedure="false">'India Employees'!$G$5:$G$85</definedName>
    <definedName function="false" hidden="false" name="IndiaIDs" vbProcedure="false">'India Employees'!$A$5:$A$85</definedName>
    <definedName function="false" hidden="false" name="IndiaInternEnd" vbProcedure="false">'India Employees'!$J$5:$J$85</definedName>
    <definedName function="false" hidden="false" name="IndiaStatus" vbProcedure="false">'India Employees'!$H$5:$H$85</definedName>
    <definedName function="false" hidden="false" name="InternAlertDays" vbProcedure="false">Settings!$B$5</definedName>
    <definedName function="false" hidden="false" name="LeaveAttendance" vbProcedure="false">'Attendance &amp; Leave'!$M$5:$M$120</definedName>
    <definedName function="false" hidden="false" name="LeaveData" vbProcedure="false">'Attendance &amp; Leave'!$A$5:$M$120</definedName>
    <definedName function="false" hidden="false" name="OffData" vbProcedure="false">'Offboarded Resources'!$A$5:$J$80</definedName>
    <definedName function="false" hidden="false" name="OffDept" vbProcedure="false">'Offboarded Resources'!$D$5:$D$80</definedName>
    <definedName function="false" hidden="false" name="OffGeo" vbProcedure="false">'Offboarded Resources'!$C$5:$C$80</definedName>
    <definedName function="false" hidden="false" name="OffLWD" vbProcedure="false">'Offboarded Resources'!$G$5:$G$80</definedName>
    <definedName function="false" hidden="false" name="OffQuarter" vbProcedure="false">'Offboarded Resources'!$J$5:$J$80</definedName>
    <definedName function="false" hidden="false" name="OpenPositions" vbProcedure="false">Recruitment!$A$6:$K$17</definedName>
    <definedName function="false" hidden="false" name="PayrollCTC" vbProcedure="false">Payroll!$E$5:$E$120</definedName>
    <definedName function="false" hidden="false" name="PayrollCurrency" vbProcedure="false">Payroll!$O$5:$O$120</definedName>
    <definedName function="false" hidden="false" name="PayrollData" vbProcedure="false">Payroll!$A$5:$O$120</definedName>
    <definedName function="false" hidden="false" name="PayrollDept" vbProcedure="false">Payroll!$D$5:$D$120</definedName>
    <definedName function="false" hidden="false" name="PayrollGeo" vbProcedure="false">Payroll!$C$5:$C$120</definedName>
    <definedName function="false" hidden="false" name="PayrollGross" vbProcedure="false">Payroll!$I$5:$I$120</definedName>
    <definedName function="false" hidden="false" name="PayrollNet" vbProcedure="false">Payroll!$N$5:$N$120</definedName>
    <definedName function="false" hidden="false" name="PositionPriority" vbProcedure="false">Recruitment!$F$6:$F$17</definedName>
    <definedName function="false" hidden="false" name="ProbationDays" vbProcedure="false">Settings!$B$6</definedName>
    <definedName function="false" hidden="false" name="ProbationWindow" vbProcedure="false">Settings!$B$4</definedName>
    <definedName function="false" hidden="false" name="ProductivityDept" vbProcedure="false">Productivity!$D$5:$D$120</definedName>
    <definedName function="false" hidden="false" name="ProductivityGeo" vbProcedure="false">Productivity!$C$5:$C$120</definedName>
    <definedName function="false" hidden="false" name="ProductivityScore" vbProcedure="false">Productivity!$F$5:$F$120</definedName>
    <definedName function="false" hidden="false" name="ReportDate" vbProcedure="false">Settings!$B$2</definedName>
    <definedName function="false" hidden="false" name="RiskData" vbProcedure="false">'Risk Report'!$A$5:$J$49</definedName>
    <definedName function="false" hidden="false" name="RiskDepts" vbProcedure="false">'Risk Report'!$E$5:$E$49</definedName>
    <definedName function="false" hidden="false" name="RiskLevels" vbProcedure="false">'Risk Report'!$G$5:$G$49</definedName>
    <definedName function="false" hidden="false" name="RiskStatuses" vbProcedure="false">'Risk Report'!$I$5:$I$49</definedName>
    <definedName function="false" hidden="false" name="TrainingEnrollments" vbProcedure="false">'Training &amp; Skills'!$A$18:$I$731</definedName>
    <definedName function="false" hidden="false" name="TrainingPrograms" vbProcedure="false">'Training &amp; Skills'!$A$6:$I$13</definedName>
    <definedName function="false" hidden="false" name="USAllocation" vbProcedure="false">'US Employees'!$F$5:$F$39</definedName>
    <definedName function="false" hidden="false" name="USData" vbProcedure="false">'US Employees'!$A$5:$L$39</definedName>
    <definedName function="false" hidden="false" name="USDept" vbProcedure="false">'US Employees'!$C$5:$C$39</definedName>
    <definedName function="false" hidden="false" name="USDINR" vbProcedure="false">Settings!$B$8</definedName>
    <definedName function="false" hidden="false" name="USDOJ" vbProcedure="false">'US Employees'!$H$5:$H$39</definedName>
    <definedName function="false" hidden="false" name="USIDs" vbProcedure="false">'US Employees'!$A$5:$A$39</definedName>
    <definedName function="false" hidden="false" name="USInternEnd" vbProcedure="false">'US Employees'!$K$5:$K$39</definedName>
    <definedName function="false" hidden="false" name="USStatus" vbProcedure="false">'US Employees'!$I$5:$I$39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<sst xmlns="http://schemas.openxmlformats.org/spreadsheetml/2006/main" count="14323" uniqueCount="2045">
  <si>
    <t xml:space="preserve">HR AUTOMATION DASHBOARD</t>
  </si>
  <si>
    <t xml:space="preserve">Live workforce intelligence • India &amp; US Geographies • Auto-refreshed from source tabs</t>
  </si>
  <si>
    <t xml:space="preserve">  👥  TOTAL ACTIVE HEADCOUNT</t>
  </si>
  <si>
    <t xml:space="preserve">  ✓  CONFIRMED EMPLOYEES</t>
  </si>
  <si>
    <t xml:space="preserve">  🎓  TOTAL INTERNS</t>
  </si>
  <si>
    <t xml:space="preserve">  ⏱  INTERNS - LWD ≤ 45 DAYS</t>
  </si>
  <si>
    <t xml:space="preserve">  ⏰  PROBATION DUE ≤ 30 DAYS</t>
  </si>
  <si>
    <t xml:space="preserve">  📉  ATTRITION (CURRENT Q)</t>
  </si>
  <si>
    <t xml:space="preserve"> 🏢  HEADCOUNT BY DEPARTMENT</t>
  </si>
  <si>
    <t xml:space="preserve"> 🌐  HEADCOUNT BY GEOGRAPHY</t>
  </si>
  <si>
    <t xml:space="preserve">Department</t>
  </si>
  <si>
    <t xml:space="preserve">India</t>
  </si>
  <si>
    <t xml:space="preserve">US</t>
  </si>
  <si>
    <t xml:space="preserve">Total</t>
  </si>
  <si>
    <t xml:space="preserve">% of HC</t>
  </si>
  <si>
    <t xml:space="preserve">Engineering</t>
  </si>
  <si>
    <t xml:space="preserve">Product</t>
  </si>
  <si>
    <t xml:space="preserve">Confirmed</t>
  </si>
  <si>
    <t xml:space="preserve">Probation</t>
  </si>
  <si>
    <t xml:space="preserve">Intern</t>
  </si>
  <si>
    <t xml:space="preserve">Sales</t>
  </si>
  <si>
    <t xml:space="preserve">Marketing</t>
  </si>
  <si>
    <t xml:space="preserve">HR</t>
  </si>
  <si>
    <t xml:space="preserve">Finance</t>
  </si>
  <si>
    <t xml:space="preserve">Operations</t>
  </si>
  <si>
    <t xml:space="preserve">Customer Success</t>
  </si>
  <si>
    <t xml:space="preserve">TOTAL</t>
  </si>
  <si>
    <t xml:space="preserve"> 📉  QUARTERLY ATTRITION TREND</t>
  </si>
  <si>
    <t xml:space="preserve"> 💰  COMPENSATION SUMMARY</t>
  </si>
  <si>
    <t xml:space="preserve">Quarter</t>
  </si>
  <si>
    <t xml:space="preserve">Exits</t>
  </si>
  <si>
    <t xml:space="preserve">Attrition %</t>
  </si>
  <si>
    <t xml:space="preserve">Metric</t>
  </si>
  <si>
    <t xml:space="preserve">Value</t>
  </si>
  <si>
    <t xml:space="preserve">Q2-2025</t>
  </si>
  <si>
    <t xml:space="preserve">Total Annual Payroll (INR)</t>
  </si>
  <si>
    <t xml:space="preserve">Q3-2025</t>
  </si>
  <si>
    <t xml:space="preserve">Total Annual Payroll (USD)</t>
  </si>
  <si>
    <t xml:space="preserve">Q4-2025</t>
  </si>
  <si>
    <t xml:space="preserve">Total Monthly Payroll (INR)</t>
  </si>
  <si>
    <t xml:space="preserve">Q1-2026</t>
  </si>
  <si>
    <t xml:space="preserve">India Annual Payroll (INR)</t>
  </si>
  <si>
    <t xml:space="preserve">Q2-2026</t>
  </si>
  <si>
    <t xml:space="preserve">US Annual Payroll (USD)</t>
  </si>
  <si>
    <t xml:space="preserve"> AVG PRODUCTIVITY SCORE</t>
  </si>
  <si>
    <t xml:space="preserve">Overall (1-5)</t>
  </si>
  <si>
    <t xml:space="preserve">India avg</t>
  </si>
  <si>
    <t xml:space="preserve">US avg</t>
  </si>
  <si>
    <t xml:space="preserve"> ⏱  INTERN LWD ALERTS (Next 45 Days)</t>
  </si>
  <si>
    <t xml:space="preserve"> ⏰  PROBATION CONFIRMATION DUE (Next 30 Days)</t>
  </si>
  <si>
    <t xml:space="preserve">Emp ID</t>
  </si>
  <si>
    <t xml:space="preserve">Name</t>
  </si>
  <si>
    <t xml:space="preserve">Dept</t>
  </si>
  <si>
    <t xml:space="preserve">Intern End</t>
  </si>
  <si>
    <t xml:space="preserve">Days Left</t>
  </si>
  <si>
    <t xml:space="preserve">Confirmation Due</t>
  </si>
  <si>
    <t xml:space="preserve">IND1049</t>
  </si>
  <si>
    <t xml:space="preserve">Meera Bose</t>
  </si>
  <si>
    <t xml:space="preserve">IND1063</t>
  </si>
  <si>
    <t xml:space="preserve">Meera Sharma</t>
  </si>
  <si>
    <t xml:space="preserve">IND1062</t>
  </si>
  <si>
    <t xml:space="preserve">Pooja Nair</t>
  </si>
  <si>
    <t xml:space="preserve">IND1045</t>
  </si>
  <si>
    <t xml:space="preserve">Diya Nair</t>
  </si>
  <si>
    <t xml:space="preserve">IND1056</t>
  </si>
  <si>
    <t xml:space="preserve">Kavya Rao</t>
  </si>
  <si>
    <t xml:space="preserve">IND1076</t>
  </si>
  <si>
    <t xml:space="preserve">Karan Rao</t>
  </si>
  <si>
    <t xml:space="preserve">IND1035</t>
  </si>
  <si>
    <t xml:space="preserve">Vivaan Gupta</t>
  </si>
  <si>
    <t xml:space="preserve">IND1058</t>
  </si>
  <si>
    <t xml:space="preserve">Shreya Chatterjee</t>
  </si>
  <si>
    <t xml:space="preserve">IND1042</t>
  </si>
  <si>
    <t xml:space="preserve">Vikram Shah</t>
  </si>
  <si>
    <t xml:space="preserve">IND1044</t>
  </si>
  <si>
    <t xml:space="preserve">Reyansh Iyer</t>
  </si>
  <si>
    <t xml:space="preserve">IND1048</t>
  </si>
  <si>
    <t xml:space="preserve">Ananya Mehta</t>
  </si>
  <si>
    <t xml:space="preserve">IND1050</t>
  </si>
  <si>
    <t xml:space="preserve">Rohan Verma</t>
  </si>
  <si>
    <t xml:space="preserve">IND1036</t>
  </si>
  <si>
    <t xml:space="preserve">Ravi Patel</t>
  </si>
  <si>
    <t xml:space="preserve">US2019</t>
  </si>
  <si>
    <t xml:space="preserve">James Lopez</t>
  </si>
  <si>
    <t xml:space="preserve">IND1038</t>
  </si>
  <si>
    <t xml:space="preserve">Krishna Iyer</t>
  </si>
  <si>
    <t xml:space="preserve">US2017</t>
  </si>
  <si>
    <t xml:space="preserve">Susan Williams</t>
  </si>
  <si>
    <t xml:space="preserve">IND1077</t>
  </si>
  <si>
    <t xml:space="preserve">Neha Khan</t>
  </si>
  <si>
    <t xml:space="preserve">IND1051</t>
  </si>
  <si>
    <t xml:space="preserve">Vihaan Chatterjee</t>
  </si>
  <si>
    <t xml:space="preserve">IND1057</t>
  </si>
  <si>
    <t xml:space="preserve">Arjun Iyer</t>
  </si>
  <si>
    <t xml:space="preserve">IND1064</t>
  </si>
  <si>
    <t xml:space="preserve">Divya Das</t>
  </si>
  <si>
    <t xml:space="preserve">US2024</t>
  </si>
  <si>
    <t xml:space="preserve">Sarah Wilson</t>
  </si>
  <si>
    <t xml:space="preserve"> ⚠  RISK REPORT - SUMMARY</t>
  </si>
  <si>
    <t xml:space="preserve"> 🚩  TOP ACTIVE RISKS</t>
  </si>
  <si>
    <t xml:space="preserve">HIGH</t>
  </si>
  <si>
    <t xml:space="preserve">MEDIUM</t>
  </si>
  <si>
    <t xml:space="preserve">LOW</t>
  </si>
  <si>
    <t xml:space="preserve">Risk ID</t>
  </si>
  <si>
    <t xml:space="preserve">Employee</t>
  </si>
  <si>
    <t xml:space="preserve">Category</t>
  </si>
  <si>
    <t xml:space="preserve">Level</t>
  </si>
  <si>
    <t xml:space="preserve">Status</t>
  </si>
  <si>
    <t xml:space="preserve">RSK-012</t>
  </si>
  <si>
    <t xml:space="preserve">Deepak Patel</t>
  </si>
  <si>
    <t xml:space="preserve">Visa/Documentation</t>
  </si>
  <si>
    <t xml:space="preserve">High</t>
  </si>
  <si>
    <t xml:space="preserve">Open</t>
  </si>
  <si>
    <t xml:space="preserve">RSK-002</t>
  </si>
  <si>
    <t xml:space="preserve">Linda Anderson</t>
  </si>
  <si>
    <t xml:space="preserve">Flight Risk</t>
  </si>
  <si>
    <t xml:space="preserve">Mitigation in Progress</t>
  </si>
  <si>
    <t xml:space="preserve"> BY STATUS</t>
  </si>
  <si>
    <t xml:space="preserve">RSK-014</t>
  </si>
  <si>
    <t xml:space="preserve">Ravi Mehta</t>
  </si>
  <si>
    <t xml:space="preserve">Workload/Burnout</t>
  </si>
  <si>
    <t xml:space="preserve">RSK-008</t>
  </si>
  <si>
    <t xml:space="preserve">Richard Jones</t>
  </si>
  <si>
    <t xml:space="preserve">Medium</t>
  </si>
  <si>
    <t xml:space="preserve">Under Review</t>
  </si>
  <si>
    <t xml:space="preserve">RSK-004</t>
  </si>
  <si>
    <t xml:space="preserve">Sarah Anderson</t>
  </si>
  <si>
    <t xml:space="preserve">RSK-006</t>
  </si>
  <si>
    <t xml:space="preserve">Kiara Kumar</t>
  </si>
  <si>
    <t xml:space="preserve">Manager Conflict</t>
  </si>
  <si>
    <t xml:space="preserve">Closed</t>
  </si>
  <si>
    <t xml:space="preserve">RSK-009</t>
  </si>
  <si>
    <t xml:space="preserve">Ishaan Menon</t>
  </si>
  <si>
    <t xml:space="preserve">RSK-010</t>
  </si>
  <si>
    <t xml:space="preserve">Meera Shah</t>
  </si>
  <si>
    <t xml:space="preserve">Skill Gap</t>
  </si>
  <si>
    <t xml:space="preserve"> 💼  PAYROLL SUMMARY  —  Total compensation across India + US</t>
  </si>
  <si>
    <t xml:space="preserve">  India Monthly Payroll</t>
  </si>
  <si>
    <t xml:space="preserve">  India Annual CTC</t>
  </si>
  <si>
    <t xml:space="preserve">  Avg India CTC</t>
  </si>
  <si>
    <t xml:space="preserve">  US Monthly Payroll</t>
  </si>
  <si>
    <t xml:space="preserve">  US Annual CTC</t>
  </si>
  <si>
    <t xml:space="preserve">  Avg US CTC</t>
  </si>
  <si>
    <t xml:space="preserve">Live from Payroll tab</t>
  </si>
  <si>
    <t xml:space="preserve">Total CTC commitments</t>
  </si>
  <si>
    <t xml:space="preserve">Per employee</t>
  </si>
  <si>
    <t xml:space="preserve"> ⚠️  ATTRITION RISK  —  Predictive model: who might leave next</t>
  </si>
  <si>
    <t xml:space="preserve">HIGH RISK</t>
  </si>
  <si>
    <t xml:space="preserve">MEDIUM RISK</t>
  </si>
  <si>
    <t xml:space="preserve">LOW RISK</t>
  </si>
  <si>
    <t xml:space="preserve">Score</t>
  </si>
  <si>
    <t xml:space="preserve">Top Reason</t>
  </si>
  <si>
    <t xml:space="preserve">Early Tenure</t>
  </si>
  <si>
    <t xml:space="preserve">Immediate intervention</t>
  </si>
  <si>
    <t xml:space="preserve">Monitor closely</t>
  </si>
  <si>
    <t xml:space="preserve">Stable retention</t>
  </si>
  <si>
    <t xml:space="preserve">US2027</t>
  </si>
  <si>
    <t xml:space="preserve">Sandra Rodriguez</t>
  </si>
  <si>
    <t xml:space="preserve">IND1068</t>
  </si>
  <si>
    <t xml:space="preserve">IND1069</t>
  </si>
  <si>
    <t xml:space="preserve">Aaradhya Reddy</t>
  </si>
  <si>
    <t xml:space="preserve">IND1031</t>
  </si>
  <si>
    <t xml:space="preserve">Deepak Nair</t>
  </si>
  <si>
    <t xml:space="preserve">IND1034</t>
  </si>
  <si>
    <t xml:space="preserve">Ananya Das</t>
  </si>
  <si>
    <t xml:space="preserve"> 🎯  RECRUITMENT FUNNEL  —  Candidate pipeline &amp; open positions</t>
  </si>
  <si>
    <t xml:space="preserve">  CANDIDATE PIPELINE</t>
  </si>
  <si>
    <t xml:space="preserve">  OPEN POSITIONS BY PRIORITY</t>
  </si>
  <si>
    <t xml:space="preserve">Applied</t>
  </si>
  <si>
    <t xml:space="preserve">Priority</t>
  </si>
  <si>
    <t xml:space="preserve">Count</t>
  </si>
  <si>
    <t xml:space="preserve">Openings</t>
  </si>
  <si>
    <t xml:space="preserve">Avg Days Open</t>
  </si>
  <si>
    <t xml:space="preserve">Screened</t>
  </si>
  <si>
    <t xml:space="preserve">Interviewed</t>
  </si>
  <si>
    <t xml:space="preserve">Offered</t>
  </si>
  <si>
    <t xml:space="preserve">Low</t>
  </si>
  <si>
    <t xml:space="preserve">Joined</t>
  </si>
  <si>
    <t xml:space="preserve"> 📅  COMPLIANCE ALERTS  —  Statutory deadlines next 30 days</t>
  </si>
  <si>
    <t xml:space="preserve">  OVERDUE</t>
  </si>
  <si>
    <t xml:space="preserve">  CRITICAL (≤7d)</t>
  </si>
  <si>
    <t xml:space="preserve">  UPCOMING (≤30d)</t>
  </si>
  <si>
    <t xml:space="preserve">  SCHEDULED</t>
  </si>
  <si>
    <t xml:space="preserve">Action required NOW</t>
  </si>
  <si>
    <t xml:space="preserve">File this week</t>
  </si>
  <si>
    <t xml:space="preserve">Plan ahead</t>
  </si>
  <si>
    <t xml:space="preserve">No immediate action</t>
  </si>
  <si>
    <t xml:space="preserve">  TOP COMPLIANCE EVENTS  —  next 30 days</t>
  </si>
  <si>
    <t xml:space="preserve">Comp ID</t>
  </si>
  <si>
    <t xml:space="preserve">Title</t>
  </si>
  <si>
    <t xml:space="preserve">Due Date</t>
  </si>
  <si>
    <t xml:space="preserve">Days</t>
  </si>
  <si>
    <t xml:space="preserve">CMP-003</t>
  </si>
  <si>
    <t xml:space="preserve">TDS Deposit (Salary)</t>
  </si>
  <si>
    <t xml:space="preserve">TDS</t>
  </si>
  <si>
    <t xml:space="preserve">Overdue</t>
  </si>
  <si>
    <t xml:space="preserve">CMP-001</t>
  </si>
  <si>
    <t xml:space="preserve">PF Monthly Filing (May 2026)</t>
  </si>
  <si>
    <t xml:space="preserve">PF/EPF</t>
  </si>
  <si>
    <t xml:space="preserve">Critical</t>
  </si>
  <si>
    <t xml:space="preserve">CMP-002</t>
  </si>
  <si>
    <t xml:space="preserve">ESI Monthly Contribution (May 2026)</t>
  </si>
  <si>
    <t xml:space="preserve">ESI</t>
  </si>
  <si>
    <t xml:space="preserve">CMP-004</t>
  </si>
  <si>
    <t xml:space="preserve">Professional Tax (Karnataka)</t>
  </si>
  <si>
    <t xml:space="preserve">PT</t>
  </si>
  <si>
    <t xml:space="preserve">Upcoming</t>
  </si>
  <si>
    <t xml:space="preserve">CMP-008</t>
  </si>
  <si>
    <t xml:space="preserve">Gratuity Payment - Resigned Employees</t>
  </si>
  <si>
    <t xml:space="preserve">Gratuity</t>
  </si>
  <si>
    <t xml:space="preserve">CMP-012</t>
  </si>
  <si>
    <t xml:space="preserve">State Unemployment Tax (SUTA)</t>
  </si>
  <si>
    <t xml:space="preserve">State Tax</t>
  </si>
  <si>
    <t xml:space="preserve"> 🗂️  ORG CHART  —  REPORTING HIERARCHY (ACTIVE EMPLOYEES)</t>
  </si>
  <si>
    <t xml:space="preserve">RAMESH KRISHNAN
Chief Executive Officer  •  116 Active</t>
  </si>
  <si>
    <t xml:space="preserve">ENGINEERING</t>
  </si>
  <si>
    <t xml:space="preserve">PRODUCT</t>
  </si>
  <si>
    <t xml:space="preserve">SALES</t>
  </si>
  <si>
    <t xml:space="preserve">MARKETING</t>
  </si>
  <si>
    <t xml:space="preserve">🇮🇳 Krishna Sharma
Principal Engineer</t>
  </si>
  <si>
    <t xml:space="preserve">+3</t>
  </si>
  <si>
    <t xml:space="preserve">🇮🇳 Aaradhya Singh
Director of Product</t>
  </si>
  <si>
    <t xml:space="preserve">+5</t>
  </si>
  <si>
    <t xml:space="preserve">🇮🇳 Deepak Patel
VP Sales</t>
  </si>
  <si>
    <t xml:space="preserve">🇮🇳 Aditya Sharma
CMO</t>
  </si>
  <si>
    <t xml:space="preserve">🇺🇸 Jessica Martinez
Principal Engineer</t>
  </si>
  <si>
    <t xml:space="preserve">+1</t>
  </si>
  <si>
    <t xml:space="preserve">🇺🇸 Richard Jones
Director of Product</t>
  </si>
  <si>
    <t xml:space="preserve">+2</t>
  </si>
  <si>
    <t xml:space="preserve">🇺🇸 Jessica Thomas
VP Sales</t>
  </si>
  <si>
    <t xml:space="preserve">🇺🇸 John Anderson
CMO</t>
  </si>
  <si>
    <t xml:space="preserve">Total: 15 employees</t>
  </si>
  <si>
    <t xml:space="preserve">Total: 18 employees</t>
  </si>
  <si>
    <t xml:space="preserve">Total: 17 employees</t>
  </si>
  <si>
    <t xml:space="preserve">Total: 16 employees</t>
  </si>
  <si>
    <t xml:space="preserve">FINANCE</t>
  </si>
  <si>
    <t xml:space="preserve">OPERATIONS</t>
  </si>
  <si>
    <t xml:space="preserve">CUSTOMER SUCCESS</t>
  </si>
  <si>
    <t xml:space="preserve">🇮🇳 Aaradhya Chatterjee
CHRO</t>
  </si>
  <si>
    <t xml:space="preserve">🇮🇳 Meera Reddy
CFO</t>
  </si>
  <si>
    <t xml:space="preserve">🇮🇳 Aaradhya Agarwal
COO</t>
  </si>
  <si>
    <t xml:space="preserve">🇮🇳 Aarav Kumar
VP Customer Success</t>
  </si>
  <si>
    <t xml:space="preserve">🇺🇸 Andrew Miller
CHRO</t>
  </si>
  <si>
    <t xml:space="preserve">🇺🇸 Margaret Davis
CFO</t>
  </si>
  <si>
    <t xml:space="preserve">🇺🇸 —</t>
  </si>
  <si>
    <t xml:space="preserve">Total: 13 employees</t>
  </si>
  <si>
    <t xml:space="preserve">Total: 12 employees</t>
  </si>
  <si>
    <t xml:space="preserve">Total: 9 employees</t>
  </si>
  <si>
    <t xml:space="preserve"> ℹ️  HOW TO USE THIS DASHBOARD</t>
  </si>
  <si>
    <t xml:space="preserve">🔄  Live &amp; Auto-Updating</t>
  </si>
  <si>
    <t xml:space="preserve">All KPIs, alerts, attrition, payroll, and compliance numbers are live formulas. Edit any source tab and metrics refresh automatically. Press F9 to force a recalc.</t>
  </si>
  <si>
    <t xml:space="preserve">📋  16 Source Tabs</t>
  </si>
  <si>
    <t xml:space="preserve">India/US Employees, Payroll, Attendance &amp; Leave, Performance Goals, Recruitment, Compliance, Training, Attrition Risk, RM Data, Finance, Productivity, Risk Report, Offboarded. Update these — never type into Dashboard cells.</t>
  </si>
  <si>
    <t xml:space="preserve">⚙️  Settings Tab</t>
  </si>
  <si>
    <t xml:space="preserve">Tune the Report Date (default = TODAY), alert windows (intern 45 days, probation 30 days), USD-INR rate, and probation duration in one place.</t>
  </si>
  <si>
    <t xml:space="preserve">🚨  Multi-Layer Alerts</t>
  </si>
  <si>
    <t xml:space="preserve">Intern LWD (≤45d), Probation (≤30d), Compliance Critical (≤7d) &amp; Upcoming (≤30d), Top 10 Attrition Risk. All color-graded by urgency.</t>
  </si>
  <si>
    <t xml:space="preserve">📈  Quarterly Attrition</t>
  </si>
  <si>
    <t xml:space="preserve">Auto-calculated from the Offboarded Resources tab. The quarter column is derived from the LWD using a formula; add a new exit row and the chart updates.</t>
  </si>
  <si>
    <t xml:space="preserve">💼  Payroll &amp; Compensation</t>
  </si>
  <si>
    <t xml:space="preserve">Full salary breakup per employee with PF, ESI, TDS, PT for India; Federal, State, SS, Medicare for US. Net pay auto-computed via formulas.</t>
  </si>
  <si>
    <t xml:space="preserve">🎯  Recruitment Pipeline</t>
  </si>
  <si>
    <t xml:space="preserve">ATS-style funnel: Applied → Screened → Interviewed → Offered → Joined. 12 open positions with priority-wise dashboard rollup.</t>
  </si>
  <si>
    <t xml:space="preserve">🛡️  Risk Report</t>
  </si>
  <si>
    <t xml:space="preserve">HR maintains the Risk Report tab directly. The dashboard counts by Level and Status, and shows the top open risks sorted by severity.</t>
  </si>
  <si>
    <t xml:space="preserve">⚠️  Predictive Attrition Risk</t>
  </si>
  <si>
    <t xml:space="preserve">Weighted scoring model (Tenure + Productivity + Comp Ratio + Other) classifies employees High/Medium/Low risk with reasons. Top 10 surfaced on dashboard.</t>
  </si>
  <si>
    <t xml:space="preserve">🗂️  Org Chart</t>
  </si>
  <si>
    <t xml:space="preserve">Shows only active employees. Each department card lists the India and US head with their direct-report counts and the department total.</t>
  </si>
  <si>
    <t xml:space="preserve">HR Automation Dashboard  •  Live-linked Excel workbook  •  Built for India + US operations  •  All metrics recalculated against Report Date in Settings tab</t>
  </si>
  <si>
    <t xml:space="preserve">Configuration</t>
  </si>
  <si>
    <t xml:space="preserve">Report Date (changes recalculate all alerts)</t>
  </si>
  <si>
    <t xml:space="preserve">Probation Confirmation Window (days)</t>
  </si>
  <si>
    <t xml:space="preserve">Intern LWD Alert Window (days)</t>
  </si>
  <si>
    <t xml:space="preserve">Probation Duration (days from DOJ)</t>
  </si>
  <si>
    <t xml:space="preserve">USD-INR Conversion Rate</t>
  </si>
  <si>
    <t xml:space="preserve">Notes for HR</t>
  </si>
  <si>
    <t xml:space="preserve">Update Offboarded Resources tab whenever an employee exits.</t>
  </si>
  <si>
    <t xml:space="preserve">Update Risk Report tab whenever a new risk is flagged.</t>
  </si>
  <si>
    <t xml:space="preserve">Status 'Intern' employees must have an Intern End Date populated.</t>
  </si>
  <si>
    <t xml:space="preserve">INDIA EMPLOYEE DATABASE</t>
  </si>
  <si>
    <t xml:space="preserve">Source of truth for all India-based employees. Update Status to "Confirmed" after probation review. Set LWD for offboarded resources (also add to Offboarded Resources tab).</t>
  </si>
  <si>
    <t xml:space="preserve">Employee ID</t>
  </si>
  <si>
    <t xml:space="preserve">Designation</t>
  </si>
  <si>
    <t xml:space="preserve">Reporting Manager</t>
  </si>
  <si>
    <t xml:space="preserve">Skillset</t>
  </si>
  <si>
    <t xml:space="preserve">Date of Joining</t>
  </si>
  <si>
    <t xml:space="preserve">Employment Status</t>
  </si>
  <si>
    <t xml:space="preserve">Tenure (Years)</t>
  </si>
  <si>
    <t xml:space="preserve">Intern Internship End Date</t>
  </si>
  <si>
    <t xml:space="preserve">Last Working Day (LWD)</t>
  </si>
  <si>
    <t xml:space="preserve">IND1001</t>
  </si>
  <si>
    <t xml:space="preserve">Krishna Sharma</t>
  </si>
  <si>
    <t xml:space="preserve">Principal Engineer</t>
  </si>
  <si>
    <t xml:space="preserve">CEO - Ramesh Krishnan</t>
  </si>
  <si>
    <t xml:space="preserve">iOS, Swift</t>
  </si>
  <si>
    <t xml:space="preserve">IND1002</t>
  </si>
  <si>
    <t xml:space="preserve">Aaradhya Singh</t>
  </si>
  <si>
    <t xml:space="preserve">Director of Product</t>
  </si>
  <si>
    <t xml:space="preserve">Product Strategy</t>
  </si>
  <si>
    <t xml:space="preserve">IND1003</t>
  </si>
  <si>
    <t xml:space="preserve">VP Sales</t>
  </si>
  <si>
    <t xml:space="preserve">Account Management</t>
  </si>
  <si>
    <t xml:space="preserve">IND1004</t>
  </si>
  <si>
    <t xml:space="preserve">Aditya Sharma</t>
  </si>
  <si>
    <t xml:space="preserve">CMO</t>
  </si>
  <si>
    <t xml:space="preserve">Content Marketing</t>
  </si>
  <si>
    <t xml:space="preserve">IND1005</t>
  </si>
  <si>
    <t xml:space="preserve">Aaradhya Chatterjee</t>
  </si>
  <si>
    <t xml:space="preserve">CHRO</t>
  </si>
  <si>
    <t xml:space="preserve">Employee Relations</t>
  </si>
  <si>
    <t xml:space="preserve">IND1006</t>
  </si>
  <si>
    <t xml:space="preserve">Meera Reddy</t>
  </si>
  <si>
    <t xml:space="preserve">CFO</t>
  </si>
  <si>
    <t xml:space="preserve">Audit</t>
  </si>
  <si>
    <t xml:space="preserve">IND1007</t>
  </si>
  <si>
    <t xml:space="preserve">Aaradhya Agarwal</t>
  </si>
  <si>
    <t xml:space="preserve">COO</t>
  </si>
  <si>
    <t xml:space="preserve">Vendor Mgmt</t>
  </si>
  <si>
    <t xml:space="preserve">IND1008</t>
  </si>
  <si>
    <t xml:space="preserve">Aarav Kumar</t>
  </si>
  <si>
    <t xml:space="preserve">VP Customer Success</t>
  </si>
  <si>
    <t xml:space="preserve">Support Mgmt</t>
  </si>
  <si>
    <t xml:space="preserve">IND1009</t>
  </si>
  <si>
    <t xml:space="preserve">Shaurya Reddy</t>
  </si>
  <si>
    <t xml:space="preserve">SDE-3</t>
  </si>
  <si>
    <t xml:space="preserve">Android, Kotlin</t>
  </si>
  <si>
    <t xml:space="preserve">IND1010</t>
  </si>
  <si>
    <t xml:space="preserve">Sai Mehta</t>
  </si>
  <si>
    <t xml:space="preserve">Java, Spring</t>
  </si>
  <si>
    <t xml:space="preserve">IND1011</t>
  </si>
  <si>
    <t xml:space="preserve">Nikhil Rao</t>
  </si>
  <si>
    <t xml:space="preserve">IND1012</t>
  </si>
  <si>
    <t xml:space="preserve">Kavya Das</t>
  </si>
  <si>
    <t xml:space="preserve">Senior PM</t>
  </si>
  <si>
    <t xml:space="preserve">IND1013</t>
  </si>
  <si>
    <t xml:space="preserve">Sai Das</t>
  </si>
  <si>
    <t xml:space="preserve">User Research</t>
  </si>
  <si>
    <t xml:space="preserve">IND1014</t>
  </si>
  <si>
    <t xml:space="preserve">Anjali Reddy</t>
  </si>
  <si>
    <t xml:space="preserve">Senior AE</t>
  </si>
  <si>
    <t xml:space="preserve">Enterprise Sales</t>
  </si>
  <si>
    <t xml:space="preserve">IND1015</t>
  </si>
  <si>
    <t xml:space="preserve">Aaradhya Menon</t>
  </si>
  <si>
    <t xml:space="preserve">IND1016</t>
  </si>
  <si>
    <t xml:space="preserve">Aaradhya Gupta</t>
  </si>
  <si>
    <t xml:space="preserve">SaaS Sales</t>
  </si>
  <si>
    <t xml:space="preserve">IND1017</t>
  </si>
  <si>
    <t xml:space="preserve">Rahul Kumar</t>
  </si>
  <si>
    <t xml:space="preserve">Senior Marketing Manager</t>
  </si>
  <si>
    <t xml:space="preserve">Brand Marketing</t>
  </si>
  <si>
    <t xml:space="preserve">IND1018</t>
  </si>
  <si>
    <t xml:space="preserve">Saanvi Nair</t>
  </si>
  <si>
    <t xml:space="preserve">IND1019</t>
  </si>
  <si>
    <t xml:space="preserve">SEO/SEM</t>
  </si>
  <si>
    <t xml:space="preserve">IND1020</t>
  </si>
  <si>
    <t xml:space="preserve">Sanjay Nair</t>
  </si>
  <si>
    <t xml:space="preserve">HR Business Partner</t>
  </si>
  <si>
    <t xml:space="preserve">IND1021</t>
  </si>
  <si>
    <t xml:space="preserve">L&amp;D</t>
  </si>
  <si>
    <t xml:space="preserve">IND1022</t>
  </si>
  <si>
    <t xml:space="preserve">Aditya Khan</t>
  </si>
  <si>
    <t xml:space="preserve">HRBP</t>
  </si>
  <si>
    <t xml:space="preserve">IND1023</t>
  </si>
  <si>
    <t xml:space="preserve">Saanvi Pillai</t>
  </si>
  <si>
    <t xml:space="preserve">Finance Manager</t>
  </si>
  <si>
    <t xml:space="preserve">Tax</t>
  </si>
  <si>
    <t xml:space="preserve">IND1024</t>
  </si>
  <si>
    <t xml:space="preserve">Treasury</t>
  </si>
  <si>
    <t xml:space="preserve">IND1025</t>
  </si>
  <si>
    <t xml:space="preserve">Ishaan Iyer</t>
  </si>
  <si>
    <t xml:space="preserve">Senior Ops Manager</t>
  </si>
  <si>
    <t xml:space="preserve">IND1026</t>
  </si>
  <si>
    <t xml:space="preserve">Divya Shah</t>
  </si>
  <si>
    <t xml:space="preserve">Logistics</t>
  </si>
  <si>
    <t xml:space="preserve">IND1027</t>
  </si>
  <si>
    <t xml:space="preserve">IND1028</t>
  </si>
  <si>
    <t xml:space="preserve">Krishna Singh</t>
  </si>
  <si>
    <t xml:space="preserve">CS Manager</t>
  </si>
  <si>
    <t xml:space="preserve">IND1029</t>
  </si>
  <si>
    <t xml:space="preserve">Pooja Rao</t>
  </si>
  <si>
    <t xml:space="preserve">Onboarding</t>
  </si>
  <si>
    <t xml:space="preserve">IND1030</t>
  </si>
  <si>
    <t xml:space="preserve">Suresh Nair</t>
  </si>
  <si>
    <t xml:space="preserve">SDE-2</t>
  </si>
  <si>
    <t xml:space="preserve">Python, AWS</t>
  </si>
  <si>
    <t xml:space="preserve">Under Probation</t>
  </si>
  <si>
    <t xml:space="preserve">SDE-1</t>
  </si>
  <si>
    <t xml:space="preserve">IND1032</t>
  </si>
  <si>
    <t xml:space="preserve">Ananya Agarwal</t>
  </si>
  <si>
    <t xml:space="preserve">IND1033</t>
  </si>
  <si>
    <t xml:space="preserve">Amit Gupta</t>
  </si>
  <si>
    <t xml:space="preserve">Go, Kubernetes</t>
  </si>
  <si>
    <t xml:space="preserve">Engineering Intern</t>
  </si>
  <si>
    <t xml:space="preserve">React, Node</t>
  </si>
  <si>
    <t xml:space="preserve">IND1037</t>
  </si>
  <si>
    <t xml:space="preserve">Deepak Reddy</t>
  </si>
  <si>
    <t xml:space="preserve">Associate PM</t>
  </si>
  <si>
    <t xml:space="preserve">Product Manager</t>
  </si>
  <si>
    <t xml:space="preserve">IND1039</t>
  </si>
  <si>
    <t xml:space="preserve">Aarav Patel</t>
  </si>
  <si>
    <t xml:space="preserve">Roadmapping</t>
  </si>
  <si>
    <t xml:space="preserve">IND1040</t>
  </si>
  <si>
    <t xml:space="preserve">Karan Patel</t>
  </si>
  <si>
    <t xml:space="preserve">IND1041</t>
  </si>
  <si>
    <t xml:space="preserve">Saanvi Das</t>
  </si>
  <si>
    <t xml:space="preserve">Agile/Scrum</t>
  </si>
  <si>
    <t xml:space="preserve">Product Intern</t>
  </si>
  <si>
    <t xml:space="preserve">IND1043</t>
  </si>
  <si>
    <t xml:space="preserve">Neha Agarwal</t>
  </si>
  <si>
    <t xml:space="preserve">Account Executive</t>
  </si>
  <si>
    <t xml:space="preserve">IND1046</t>
  </si>
  <si>
    <t xml:space="preserve">Vihaan Das</t>
  </si>
  <si>
    <t xml:space="preserve">SDR</t>
  </si>
  <si>
    <t xml:space="preserve">IND1047</t>
  </si>
  <si>
    <t xml:space="preserve">Neha Bose</t>
  </si>
  <si>
    <t xml:space="preserve">Inside Sales</t>
  </si>
  <si>
    <t xml:space="preserve">Sales Intern</t>
  </si>
  <si>
    <t xml:space="preserve">Channel Sales</t>
  </si>
  <si>
    <t xml:space="preserve">Marketing Associate</t>
  </si>
  <si>
    <t xml:space="preserve">Marketing Automation</t>
  </si>
  <si>
    <t xml:space="preserve">IND1052</t>
  </si>
  <si>
    <t xml:space="preserve">Anika Mehta</t>
  </si>
  <si>
    <t xml:space="preserve">IND1053</t>
  </si>
  <si>
    <t xml:space="preserve">Shreya Patel</t>
  </si>
  <si>
    <t xml:space="preserve">IND1054</t>
  </si>
  <si>
    <t xml:space="preserve">Navya Reddy</t>
  </si>
  <si>
    <t xml:space="preserve">Marketing Manager</t>
  </si>
  <si>
    <t xml:space="preserve">IND1055</t>
  </si>
  <si>
    <t xml:space="preserve">Marketing Intern</t>
  </si>
  <si>
    <t xml:space="preserve">HR Manager</t>
  </si>
  <si>
    <t xml:space="preserve">IND1059</t>
  </si>
  <si>
    <t xml:space="preserve">Ishaan Nair</t>
  </si>
  <si>
    <t xml:space="preserve">HR Executive</t>
  </si>
  <si>
    <t xml:space="preserve">Talent Acquisition</t>
  </si>
  <si>
    <t xml:space="preserve">IND1060</t>
  </si>
  <si>
    <t xml:space="preserve">Kiara Menon</t>
  </si>
  <si>
    <t xml:space="preserve">Comp &amp; Ben</t>
  </si>
  <si>
    <t xml:space="preserve">IND1061</t>
  </si>
  <si>
    <t xml:space="preserve">Amit Bose</t>
  </si>
  <si>
    <t xml:space="preserve">HR Intern</t>
  </si>
  <si>
    <t xml:space="preserve">Senior Analyst</t>
  </si>
  <si>
    <t xml:space="preserve">Accounting</t>
  </si>
  <si>
    <t xml:space="preserve">FP&amp;A</t>
  </si>
  <si>
    <t xml:space="preserve">IND1065</t>
  </si>
  <si>
    <t xml:space="preserve">Aditya Joshi</t>
  </si>
  <si>
    <t xml:space="preserve">IND1066</t>
  </si>
  <si>
    <t xml:space="preserve">IND1067</t>
  </si>
  <si>
    <t xml:space="preserve">Neha Sharma</t>
  </si>
  <si>
    <t xml:space="preserve">Finance Intern</t>
  </si>
  <si>
    <t xml:space="preserve">Ops Associate</t>
  </si>
  <si>
    <t xml:space="preserve">Ops Manager</t>
  </si>
  <si>
    <t xml:space="preserve">IND1070</t>
  </si>
  <si>
    <t xml:space="preserve">Aaradhya Sharma</t>
  </si>
  <si>
    <t xml:space="preserve">IND1071</t>
  </si>
  <si>
    <t xml:space="preserve">Arjun Nair</t>
  </si>
  <si>
    <t xml:space="preserve">IND1072</t>
  </si>
  <si>
    <t xml:space="preserve">Process Excellence</t>
  </si>
  <si>
    <t xml:space="preserve">IND1073</t>
  </si>
  <si>
    <t xml:space="preserve">Aditya Gupta</t>
  </si>
  <si>
    <t xml:space="preserve">IND1074</t>
  </si>
  <si>
    <t xml:space="preserve">Sneha Chatterjee</t>
  </si>
  <si>
    <t xml:space="preserve">Ops Intern</t>
  </si>
  <si>
    <t xml:space="preserve">IND1075</t>
  </si>
  <si>
    <t xml:space="preserve">Aditya Shah</t>
  </si>
  <si>
    <t xml:space="preserve">CSM</t>
  </si>
  <si>
    <t xml:space="preserve">Senior CSM</t>
  </si>
  <si>
    <t xml:space="preserve">IND1078</t>
  </si>
  <si>
    <t xml:space="preserve">Sanjay Kumar</t>
  </si>
  <si>
    <t xml:space="preserve">IND1079</t>
  </si>
  <si>
    <t xml:space="preserve">Myra Reddy</t>
  </si>
  <si>
    <t xml:space="preserve">Renewals</t>
  </si>
  <si>
    <t xml:space="preserve">IND1080</t>
  </si>
  <si>
    <t xml:space="preserve">Riya Reddy</t>
  </si>
  <si>
    <t xml:space="preserve">IND1081</t>
  </si>
  <si>
    <t xml:space="preserve">Myra Chatterjee</t>
  </si>
  <si>
    <t xml:space="preserve">CS Intern</t>
  </si>
  <si>
    <t xml:space="preserve">US EMPLOYEE DATABASE</t>
  </si>
  <si>
    <t xml:space="preserve">Source of truth for all US-based employees. Allocation % drives Finance calculations. Update Status when probation reviews complete.</t>
  </si>
  <si>
    <t xml:space="preserve">Current Allocation (%)</t>
  </si>
  <si>
    <t xml:space="preserve">US2001</t>
  </si>
  <si>
    <t xml:space="preserve">Jessica Martinez</t>
  </si>
  <si>
    <t xml:space="preserve">US2002</t>
  </si>
  <si>
    <t xml:space="preserve">US2003</t>
  </si>
  <si>
    <t xml:space="preserve">Jessica Thomas</t>
  </si>
  <si>
    <t xml:space="preserve">US2004</t>
  </si>
  <si>
    <t xml:space="preserve">John Anderson</t>
  </si>
  <si>
    <t xml:space="preserve">Demand Gen</t>
  </si>
  <si>
    <t xml:space="preserve">US2005</t>
  </si>
  <si>
    <t xml:space="preserve">Andrew Miller</t>
  </si>
  <si>
    <t xml:space="preserve">US2006</t>
  </si>
  <si>
    <t xml:space="preserve">Margaret Davis</t>
  </si>
  <si>
    <t xml:space="preserve">US2007</t>
  </si>
  <si>
    <t xml:space="preserve">Michael Wilson</t>
  </si>
  <si>
    <t xml:space="preserve">US2008</t>
  </si>
  <si>
    <t xml:space="preserve">Patricia Moore</t>
  </si>
  <si>
    <t xml:space="preserve">US2009</t>
  </si>
  <si>
    <t xml:space="preserve">US2010</t>
  </si>
  <si>
    <t xml:space="preserve">Kimberly Moore</t>
  </si>
  <si>
    <t xml:space="preserve">US2011</t>
  </si>
  <si>
    <t xml:space="preserve">Donald Martin</t>
  </si>
  <si>
    <t xml:space="preserve">US2012</t>
  </si>
  <si>
    <t xml:space="preserve">William Thomas</t>
  </si>
  <si>
    <t xml:space="preserve">US2013</t>
  </si>
  <si>
    <t xml:space="preserve">Jessica Rodriguez</t>
  </si>
  <si>
    <t xml:space="preserve">US2014</t>
  </si>
  <si>
    <t xml:space="preserve">US2015</t>
  </si>
  <si>
    <t xml:space="preserve">US2016</t>
  </si>
  <si>
    <t xml:space="preserve">Steven Williams</t>
  </si>
  <si>
    <t xml:space="preserve">ML/AI</t>
  </si>
  <si>
    <t xml:space="preserve">US2018</t>
  </si>
  <si>
    <t xml:space="preserve">Susan Wilson</t>
  </si>
  <si>
    <t xml:space="preserve">US2020</t>
  </si>
  <si>
    <t xml:space="preserve">Joseph Rodriguez</t>
  </si>
  <si>
    <t xml:space="preserve">US2021</t>
  </si>
  <si>
    <t xml:space="preserve">Margaret Garcia</t>
  </si>
  <si>
    <t xml:space="preserve">US2022</t>
  </si>
  <si>
    <t xml:space="preserve">Donna Jackson</t>
  </si>
  <si>
    <t xml:space="preserve">Analytics</t>
  </si>
  <si>
    <t xml:space="preserve">US2023</t>
  </si>
  <si>
    <t xml:space="preserve">Barbara Johnson</t>
  </si>
  <si>
    <t xml:space="preserve">US2025</t>
  </si>
  <si>
    <t xml:space="preserve">Joseph Williams</t>
  </si>
  <si>
    <t xml:space="preserve">US2026</t>
  </si>
  <si>
    <t xml:space="preserve">Michelle Jones</t>
  </si>
  <si>
    <t xml:space="preserve">US2028</t>
  </si>
  <si>
    <t xml:space="preserve">Donna Smith</t>
  </si>
  <si>
    <t xml:space="preserve">US2029</t>
  </si>
  <si>
    <t xml:space="preserve">Donna Davis</t>
  </si>
  <si>
    <t xml:space="preserve">US2030</t>
  </si>
  <si>
    <t xml:space="preserve">Steven Wilson</t>
  </si>
  <si>
    <t xml:space="preserve">US2031</t>
  </si>
  <si>
    <t xml:space="preserve">Ashley Brown</t>
  </si>
  <si>
    <t xml:space="preserve">US2032</t>
  </si>
  <si>
    <t xml:space="preserve">Barbara Taylor</t>
  </si>
  <si>
    <t xml:space="preserve">US2033</t>
  </si>
  <si>
    <t xml:space="preserve">Betty Jackson</t>
  </si>
  <si>
    <t xml:space="preserve">US2034</t>
  </si>
  <si>
    <t xml:space="preserve">Jessica Anderson</t>
  </si>
  <si>
    <t xml:space="preserve">US2035</t>
  </si>
  <si>
    <t xml:space="preserve">Christopher Garcia</t>
  </si>
  <si>
    <t xml:space="preserve">PAYROLL  —  Salary breakup, statutory deductions &amp; net pay</t>
  </si>
  <si>
    <t xml:space="preserve">   India: Basic 40% + HRA 20% + Special, with PF/ESI/PT/TDS  •  US: Federal + State + SS + Medicare</t>
  </si>
  <si>
    <t xml:space="preserve">Geo</t>
  </si>
  <si>
    <t xml:space="preserve">CTC (Annual)</t>
  </si>
  <si>
    <t xml:space="preserve">Basic</t>
  </si>
  <si>
    <t xml:space="preserve">HRA / Allow</t>
  </si>
  <si>
    <t xml:space="preserve">Special</t>
  </si>
  <si>
    <t xml:space="preserve">Gross</t>
  </si>
  <si>
    <t xml:space="preserve">PF / Fed Tax</t>
  </si>
  <si>
    <t xml:space="preserve">ESI / SS</t>
  </si>
  <si>
    <t xml:space="preserve">PT / Medicare</t>
  </si>
  <si>
    <t xml:space="preserve">TDS / State</t>
  </si>
  <si>
    <t xml:space="preserve">Net Pay</t>
  </si>
  <si>
    <t xml:space="preserve">Currency</t>
  </si>
  <si>
    <t xml:space="preserve">INR</t>
  </si>
  <si>
    <t xml:space="preserve">USD</t>
  </si>
  <si>
    <t xml:space="preserve">ATTENDANCE &amp; LEAVE  —  Per-employee balances and monthly attendance %</t>
  </si>
  <si>
    <t xml:space="preserve">   India: CL 12 + SL 12 + EL 18  •  US: PTO 15 + Sick 10  •  Balance = Entitled − Used (formula)</t>
  </si>
  <si>
    <t xml:space="preserve">CL/PTO Ent.</t>
  </si>
  <si>
    <t xml:space="preserve">CL/PTO Used</t>
  </si>
  <si>
    <t xml:space="preserve">CL/PTO Bal.</t>
  </si>
  <si>
    <t xml:space="preserve">SL/Sick Ent.</t>
  </si>
  <si>
    <t xml:space="preserve">SL/Sick Used</t>
  </si>
  <si>
    <t xml:space="preserve">SL/Sick Bal.</t>
  </si>
  <si>
    <t xml:space="preserve">EL Ent.</t>
  </si>
  <si>
    <t xml:space="preserve">EL Used / Bal.</t>
  </si>
  <si>
    <t xml:space="preserve">Attendance %</t>
  </si>
  <si>
    <t xml:space="preserve">PERFORMANCE GOALS  —  KPIs, targets, achievement &amp; weighted ratings</t>
  </si>
  <si>
    <t xml:space="preserve">   Achievement % = Actual ÷ Target  •  Rating: 5★ ≥95%, 4★ 80-94%, 3★ 65-79%, 2★ 50-64%, 1★ &lt;50%</t>
  </si>
  <si>
    <t xml:space="preserve">Goal ID</t>
  </si>
  <si>
    <t xml:space="preserve">Goal</t>
  </si>
  <si>
    <t xml:space="preserve">Target</t>
  </si>
  <si>
    <t xml:space="preserve">Actual</t>
  </si>
  <si>
    <t xml:space="preserve">Achievement %</t>
  </si>
  <si>
    <t xml:space="preserve">Rating</t>
  </si>
  <si>
    <t xml:space="preserve">GL0001</t>
  </si>
  <si>
    <t xml:space="preserve">Cost Reduction</t>
  </si>
  <si>
    <t xml:space="preserve">On Track</t>
  </si>
  <si>
    <t xml:space="preserve">GL0002</t>
  </si>
  <si>
    <t xml:space="preserve">Skill Development</t>
  </si>
  <si>
    <t xml:space="preserve">At Risk</t>
  </si>
  <si>
    <t xml:space="preserve">GL0003</t>
  </si>
  <si>
    <t xml:space="preserve">Revenue Target</t>
  </si>
  <si>
    <t xml:space="preserve">GL0004</t>
  </si>
  <si>
    <t xml:space="preserve">GL0005</t>
  </si>
  <si>
    <t xml:space="preserve">Process Improvement</t>
  </si>
  <si>
    <t xml:space="preserve">GL0006</t>
  </si>
  <si>
    <t xml:space="preserve">Project Delivery</t>
  </si>
  <si>
    <t xml:space="preserve">GL0007</t>
  </si>
  <si>
    <t xml:space="preserve">Sales Pipeline</t>
  </si>
  <si>
    <t xml:space="preserve">GL0008</t>
  </si>
  <si>
    <t xml:space="preserve">Team Mentorship</t>
  </si>
  <si>
    <t xml:space="preserve">GL0009</t>
  </si>
  <si>
    <t xml:space="preserve">GL0010</t>
  </si>
  <si>
    <t xml:space="preserve">Product Quality</t>
  </si>
  <si>
    <t xml:space="preserve">GL0011</t>
  </si>
  <si>
    <t xml:space="preserve">GL0012</t>
  </si>
  <si>
    <t xml:space="preserve">Customer Satisfaction</t>
  </si>
  <si>
    <t xml:space="preserve">GL0013</t>
  </si>
  <si>
    <t xml:space="preserve">GL0014</t>
  </si>
  <si>
    <t xml:space="preserve">Completed</t>
  </si>
  <si>
    <t xml:space="preserve">GL0015</t>
  </si>
  <si>
    <t xml:space="preserve">Code Quality</t>
  </si>
  <si>
    <t xml:space="preserve">GL0016</t>
  </si>
  <si>
    <t xml:space="preserve">GL0017</t>
  </si>
  <si>
    <t xml:space="preserve">GL0018</t>
  </si>
  <si>
    <t xml:space="preserve">GL0019</t>
  </si>
  <si>
    <t xml:space="preserve">GL0020</t>
  </si>
  <si>
    <t xml:space="preserve">GL0021</t>
  </si>
  <si>
    <t xml:space="preserve">GL0022</t>
  </si>
  <si>
    <t xml:space="preserve">GL0023</t>
  </si>
  <si>
    <t xml:space="preserve">GL0024</t>
  </si>
  <si>
    <t xml:space="preserve">GL0025</t>
  </si>
  <si>
    <t xml:space="preserve">GL0026</t>
  </si>
  <si>
    <t xml:space="preserve">GL0027</t>
  </si>
  <si>
    <t xml:space="preserve">GL0028</t>
  </si>
  <si>
    <t xml:space="preserve">GL0029</t>
  </si>
  <si>
    <t xml:space="preserve">GL0030</t>
  </si>
  <si>
    <t xml:space="preserve">GL0031</t>
  </si>
  <si>
    <t xml:space="preserve">GL0032</t>
  </si>
  <si>
    <t xml:space="preserve">GL0033</t>
  </si>
  <si>
    <t xml:space="preserve">GL0034</t>
  </si>
  <si>
    <t xml:space="preserve">GL0035</t>
  </si>
  <si>
    <t xml:space="preserve">GL0036</t>
  </si>
  <si>
    <t xml:space="preserve">GL0037</t>
  </si>
  <si>
    <t xml:space="preserve">GL0038</t>
  </si>
  <si>
    <t xml:space="preserve">GL0039</t>
  </si>
  <si>
    <t xml:space="preserve">GL0040</t>
  </si>
  <si>
    <t xml:space="preserve">GL0041</t>
  </si>
  <si>
    <t xml:space="preserve">GL0042</t>
  </si>
  <si>
    <t xml:space="preserve">GL0043</t>
  </si>
  <si>
    <t xml:space="preserve">GL0044</t>
  </si>
  <si>
    <t xml:space="preserve">GL0045</t>
  </si>
  <si>
    <t xml:space="preserve">GL0046</t>
  </si>
  <si>
    <t xml:space="preserve">GL0047</t>
  </si>
  <si>
    <t xml:space="preserve">GL0048</t>
  </si>
  <si>
    <t xml:space="preserve">GL0049</t>
  </si>
  <si>
    <t xml:space="preserve">GL0050</t>
  </si>
  <si>
    <t xml:space="preserve">GL0051</t>
  </si>
  <si>
    <t xml:space="preserve">GL0052</t>
  </si>
  <si>
    <t xml:space="preserve">GL0053</t>
  </si>
  <si>
    <t xml:space="preserve">GL0054</t>
  </si>
  <si>
    <t xml:space="preserve">GL0055</t>
  </si>
  <si>
    <t xml:space="preserve">GL0056</t>
  </si>
  <si>
    <t xml:space="preserve">GL0057</t>
  </si>
  <si>
    <t xml:space="preserve">GL0058</t>
  </si>
  <si>
    <t xml:space="preserve">GL0059</t>
  </si>
  <si>
    <t xml:space="preserve">GL0060</t>
  </si>
  <si>
    <t xml:space="preserve">GL0061</t>
  </si>
  <si>
    <t xml:space="preserve">GL0062</t>
  </si>
  <si>
    <t xml:space="preserve">GL0063</t>
  </si>
  <si>
    <t xml:space="preserve">GL0064</t>
  </si>
  <si>
    <t xml:space="preserve">GL0065</t>
  </si>
  <si>
    <t xml:space="preserve">GL0066</t>
  </si>
  <si>
    <t xml:space="preserve">GL0067</t>
  </si>
  <si>
    <t xml:space="preserve">GL0068</t>
  </si>
  <si>
    <t xml:space="preserve">GL0069</t>
  </si>
  <si>
    <t xml:space="preserve">GL0070</t>
  </si>
  <si>
    <t xml:space="preserve">GL0071</t>
  </si>
  <si>
    <t xml:space="preserve">GL0072</t>
  </si>
  <si>
    <t xml:space="preserve">GL0073</t>
  </si>
  <si>
    <t xml:space="preserve">GL0074</t>
  </si>
  <si>
    <t xml:space="preserve">GL0075</t>
  </si>
  <si>
    <t xml:space="preserve">GL0076</t>
  </si>
  <si>
    <t xml:space="preserve">GL0077</t>
  </si>
  <si>
    <t xml:space="preserve">GL0078</t>
  </si>
  <si>
    <t xml:space="preserve">GL0079</t>
  </si>
  <si>
    <t xml:space="preserve">GL0080</t>
  </si>
  <si>
    <t xml:space="preserve">GL0081</t>
  </si>
  <si>
    <t xml:space="preserve">GL0082</t>
  </si>
  <si>
    <t xml:space="preserve">GL0083</t>
  </si>
  <si>
    <t xml:space="preserve">GL0084</t>
  </si>
  <si>
    <t xml:space="preserve">GL0085</t>
  </si>
  <si>
    <t xml:space="preserve">GL0086</t>
  </si>
  <si>
    <t xml:space="preserve">GL0087</t>
  </si>
  <si>
    <t xml:space="preserve">GL0088</t>
  </si>
  <si>
    <t xml:space="preserve">GL0089</t>
  </si>
  <si>
    <t xml:space="preserve">GL0090</t>
  </si>
  <si>
    <t xml:space="preserve">GL0091</t>
  </si>
  <si>
    <t xml:space="preserve">GL0092</t>
  </si>
  <si>
    <t xml:space="preserve">GL0093</t>
  </si>
  <si>
    <t xml:space="preserve">GL0094</t>
  </si>
  <si>
    <t xml:space="preserve">GL0095</t>
  </si>
  <si>
    <t xml:space="preserve">GL0096</t>
  </si>
  <si>
    <t xml:space="preserve">GL0097</t>
  </si>
  <si>
    <t xml:space="preserve">GL0098</t>
  </si>
  <si>
    <t xml:space="preserve">GL0099</t>
  </si>
  <si>
    <t xml:space="preserve">GL0100</t>
  </si>
  <si>
    <t xml:space="preserve">GL0101</t>
  </si>
  <si>
    <t xml:space="preserve">GL0102</t>
  </si>
  <si>
    <t xml:space="preserve">GL0103</t>
  </si>
  <si>
    <t xml:space="preserve">GL0104</t>
  </si>
  <si>
    <t xml:space="preserve">GL0105</t>
  </si>
  <si>
    <t xml:space="preserve">GL0106</t>
  </si>
  <si>
    <t xml:space="preserve">GL0107</t>
  </si>
  <si>
    <t xml:space="preserve">GL0108</t>
  </si>
  <si>
    <t xml:space="preserve">GL0109</t>
  </si>
  <si>
    <t xml:space="preserve">GL0110</t>
  </si>
  <si>
    <t xml:space="preserve">GL0111</t>
  </si>
  <si>
    <t xml:space="preserve">GL0112</t>
  </si>
  <si>
    <t xml:space="preserve">GL0113</t>
  </si>
  <si>
    <t xml:space="preserve">GL0114</t>
  </si>
  <si>
    <t xml:space="preserve">GL0115</t>
  </si>
  <si>
    <t xml:space="preserve">GL0116</t>
  </si>
  <si>
    <t xml:space="preserve">GL0117</t>
  </si>
  <si>
    <t xml:space="preserve">GL0118</t>
  </si>
  <si>
    <t xml:space="preserve">GL0119</t>
  </si>
  <si>
    <t xml:space="preserve">GL0120</t>
  </si>
  <si>
    <t xml:space="preserve">GL0121</t>
  </si>
  <si>
    <t xml:space="preserve">GL0122</t>
  </si>
  <si>
    <t xml:space="preserve">GL0123</t>
  </si>
  <si>
    <t xml:space="preserve">GL0124</t>
  </si>
  <si>
    <t xml:space="preserve">GL0125</t>
  </si>
  <si>
    <t xml:space="preserve">GL0126</t>
  </si>
  <si>
    <t xml:space="preserve">GL0127</t>
  </si>
  <si>
    <t xml:space="preserve">GL0128</t>
  </si>
  <si>
    <t xml:space="preserve">GL0129</t>
  </si>
  <si>
    <t xml:space="preserve">GL0130</t>
  </si>
  <si>
    <t xml:space="preserve">GL0131</t>
  </si>
  <si>
    <t xml:space="preserve">GL0132</t>
  </si>
  <si>
    <t xml:space="preserve">GL0133</t>
  </si>
  <si>
    <t xml:space="preserve">GL0134</t>
  </si>
  <si>
    <t xml:space="preserve">GL0135</t>
  </si>
  <si>
    <t xml:space="preserve">GL0136</t>
  </si>
  <si>
    <t xml:space="preserve">GL0137</t>
  </si>
  <si>
    <t xml:space="preserve">GL0138</t>
  </si>
  <si>
    <t xml:space="preserve">GL0139</t>
  </si>
  <si>
    <t xml:space="preserve">GL0140</t>
  </si>
  <si>
    <t xml:space="preserve">GL0141</t>
  </si>
  <si>
    <t xml:space="preserve">GL0142</t>
  </si>
  <si>
    <t xml:space="preserve">GL0143</t>
  </si>
  <si>
    <t xml:space="preserve">GL0144</t>
  </si>
  <si>
    <t xml:space="preserve">GL0145</t>
  </si>
  <si>
    <t xml:space="preserve">GL0146</t>
  </si>
  <si>
    <t xml:space="preserve">GL0147</t>
  </si>
  <si>
    <t xml:space="preserve">GL0148</t>
  </si>
  <si>
    <t xml:space="preserve">GL0149</t>
  </si>
  <si>
    <t xml:space="preserve">GL0150</t>
  </si>
  <si>
    <t xml:space="preserve">GL0151</t>
  </si>
  <si>
    <t xml:space="preserve">GL0152</t>
  </si>
  <si>
    <t xml:space="preserve">GL0153</t>
  </si>
  <si>
    <t xml:space="preserve">GL0154</t>
  </si>
  <si>
    <t xml:space="preserve">GL0155</t>
  </si>
  <si>
    <t xml:space="preserve">GL0156</t>
  </si>
  <si>
    <t xml:space="preserve">GL0157</t>
  </si>
  <si>
    <t xml:space="preserve">GL0158</t>
  </si>
  <si>
    <t xml:space="preserve">GL0159</t>
  </si>
  <si>
    <t xml:space="preserve">GL0160</t>
  </si>
  <si>
    <t xml:space="preserve">GL0161</t>
  </si>
  <si>
    <t xml:space="preserve">GL0162</t>
  </si>
  <si>
    <t xml:space="preserve">GL0163</t>
  </si>
  <si>
    <t xml:space="preserve">GL0164</t>
  </si>
  <si>
    <t xml:space="preserve">GL0165</t>
  </si>
  <si>
    <t xml:space="preserve">GL0166</t>
  </si>
  <si>
    <t xml:space="preserve">GL0167</t>
  </si>
  <si>
    <t xml:space="preserve">GL0168</t>
  </si>
  <si>
    <t xml:space="preserve">GL0169</t>
  </si>
  <si>
    <t xml:space="preserve">GL0170</t>
  </si>
  <si>
    <t xml:space="preserve">GL0171</t>
  </si>
  <si>
    <t xml:space="preserve">GL0172</t>
  </si>
  <si>
    <t xml:space="preserve">GL0173</t>
  </si>
  <si>
    <t xml:space="preserve">GL0174</t>
  </si>
  <si>
    <t xml:space="preserve">GL0175</t>
  </si>
  <si>
    <t xml:space="preserve">GL0176</t>
  </si>
  <si>
    <t xml:space="preserve">GL0177</t>
  </si>
  <si>
    <t xml:space="preserve">GL0178</t>
  </si>
  <si>
    <t xml:space="preserve">GL0179</t>
  </si>
  <si>
    <t xml:space="preserve">GL0180</t>
  </si>
  <si>
    <t xml:space="preserve">GL0181</t>
  </si>
  <si>
    <t xml:space="preserve">GL0182</t>
  </si>
  <si>
    <t xml:space="preserve">GL0183</t>
  </si>
  <si>
    <t xml:space="preserve">GL0184</t>
  </si>
  <si>
    <t xml:space="preserve">GL0185</t>
  </si>
  <si>
    <t xml:space="preserve">GL0186</t>
  </si>
  <si>
    <t xml:space="preserve">GL0187</t>
  </si>
  <si>
    <t xml:space="preserve">GL0188</t>
  </si>
  <si>
    <t xml:space="preserve">GL0189</t>
  </si>
  <si>
    <t xml:space="preserve">GL0190</t>
  </si>
  <si>
    <t xml:space="preserve">GL0191</t>
  </si>
  <si>
    <t xml:space="preserve">GL0192</t>
  </si>
  <si>
    <t xml:space="preserve">GL0193</t>
  </si>
  <si>
    <t xml:space="preserve">GL0194</t>
  </si>
  <si>
    <t xml:space="preserve">GL0195</t>
  </si>
  <si>
    <t xml:space="preserve">GL0196</t>
  </si>
  <si>
    <t xml:space="preserve">GL0197</t>
  </si>
  <si>
    <t xml:space="preserve">GL0198</t>
  </si>
  <si>
    <t xml:space="preserve">GL0199</t>
  </si>
  <si>
    <t xml:space="preserve">GL0200</t>
  </si>
  <si>
    <t xml:space="preserve">GL0201</t>
  </si>
  <si>
    <t xml:space="preserve">GL0202</t>
  </si>
  <si>
    <t xml:space="preserve">GL0203</t>
  </si>
  <si>
    <t xml:space="preserve">GL0204</t>
  </si>
  <si>
    <t xml:space="preserve">GL0205</t>
  </si>
  <si>
    <t xml:space="preserve">GL0206</t>
  </si>
  <si>
    <t xml:space="preserve">GL0207</t>
  </si>
  <si>
    <t xml:space="preserve">GL0208</t>
  </si>
  <si>
    <t xml:space="preserve">GL0209</t>
  </si>
  <si>
    <t xml:space="preserve">GL0210</t>
  </si>
  <si>
    <t xml:space="preserve">GL0211</t>
  </si>
  <si>
    <t xml:space="preserve">GL0212</t>
  </si>
  <si>
    <t xml:space="preserve">GL0213</t>
  </si>
  <si>
    <t xml:space="preserve">GL0214</t>
  </si>
  <si>
    <t xml:space="preserve">GL0215</t>
  </si>
  <si>
    <t xml:space="preserve">GL0216</t>
  </si>
  <si>
    <t xml:space="preserve">GL0217</t>
  </si>
  <si>
    <t xml:space="preserve">GL0218</t>
  </si>
  <si>
    <t xml:space="preserve">GL0219</t>
  </si>
  <si>
    <t xml:space="preserve">GL0220</t>
  </si>
  <si>
    <t xml:space="preserve">GL0221</t>
  </si>
  <si>
    <t xml:space="preserve">GL0222</t>
  </si>
  <si>
    <t xml:space="preserve">GL0223</t>
  </si>
  <si>
    <t xml:space="preserve">GL0224</t>
  </si>
  <si>
    <t xml:space="preserve">GL0225</t>
  </si>
  <si>
    <t xml:space="preserve">GL0226</t>
  </si>
  <si>
    <t xml:space="preserve">GL0227</t>
  </si>
  <si>
    <t xml:space="preserve">GL0228</t>
  </si>
  <si>
    <t xml:space="preserve">GL0229</t>
  </si>
  <si>
    <t xml:space="preserve">GL0230</t>
  </si>
  <si>
    <t xml:space="preserve">GL0231</t>
  </si>
  <si>
    <t xml:space="preserve">GL0232</t>
  </si>
  <si>
    <t xml:space="preserve">GL0233</t>
  </si>
  <si>
    <t xml:space="preserve">GL0234</t>
  </si>
  <si>
    <t xml:space="preserve">GL0235</t>
  </si>
  <si>
    <t xml:space="preserve">GL0236</t>
  </si>
  <si>
    <t xml:space="preserve">GL0237</t>
  </si>
  <si>
    <t xml:space="preserve">GL0238</t>
  </si>
  <si>
    <t xml:space="preserve">GL0239</t>
  </si>
  <si>
    <t xml:space="preserve">GL0240</t>
  </si>
  <si>
    <t xml:space="preserve">GL0241</t>
  </si>
  <si>
    <t xml:space="preserve">GL0242</t>
  </si>
  <si>
    <t xml:space="preserve">GL0243</t>
  </si>
  <si>
    <t xml:space="preserve">GL0244</t>
  </si>
  <si>
    <t xml:space="preserve">GL0245</t>
  </si>
  <si>
    <t xml:space="preserve">GL0246</t>
  </si>
  <si>
    <t xml:space="preserve">GL0247</t>
  </si>
  <si>
    <t xml:space="preserve">GL0248</t>
  </si>
  <si>
    <t xml:space="preserve">GL0249</t>
  </si>
  <si>
    <t xml:space="preserve">GL0250</t>
  </si>
  <si>
    <t xml:space="preserve">GL0251</t>
  </si>
  <si>
    <t xml:space="preserve">GL0252</t>
  </si>
  <si>
    <t xml:space="preserve">GL0253</t>
  </si>
  <si>
    <t xml:space="preserve">GL0254</t>
  </si>
  <si>
    <t xml:space="preserve">GL0255</t>
  </si>
  <si>
    <t xml:space="preserve">GL0256</t>
  </si>
  <si>
    <t xml:space="preserve">GL0257</t>
  </si>
  <si>
    <t xml:space="preserve">GL0258</t>
  </si>
  <si>
    <t xml:space="preserve">GL0259</t>
  </si>
  <si>
    <t xml:space="preserve">GL0260</t>
  </si>
  <si>
    <t xml:space="preserve">GL0261</t>
  </si>
  <si>
    <t xml:space="preserve">GL0262</t>
  </si>
  <si>
    <t xml:space="preserve">GL0263</t>
  </si>
  <si>
    <t xml:space="preserve">GL0264</t>
  </si>
  <si>
    <t xml:space="preserve">GL0265</t>
  </si>
  <si>
    <t xml:space="preserve">GL0266</t>
  </si>
  <si>
    <t xml:space="preserve">GL0267</t>
  </si>
  <si>
    <t xml:space="preserve">GL0268</t>
  </si>
  <si>
    <t xml:space="preserve">GL0269</t>
  </si>
  <si>
    <t xml:space="preserve">GL0270</t>
  </si>
  <si>
    <t xml:space="preserve">GL0271</t>
  </si>
  <si>
    <t xml:space="preserve">GL0272</t>
  </si>
  <si>
    <t xml:space="preserve">GL0273</t>
  </si>
  <si>
    <t xml:space="preserve">GL0274</t>
  </si>
  <si>
    <t xml:space="preserve">GL0275</t>
  </si>
  <si>
    <t xml:space="preserve">GL0276</t>
  </si>
  <si>
    <t xml:space="preserve">GL0277</t>
  </si>
  <si>
    <t xml:space="preserve">GL0278</t>
  </si>
  <si>
    <t xml:space="preserve">GL0279</t>
  </si>
  <si>
    <t xml:space="preserve">GL0280</t>
  </si>
  <si>
    <t xml:space="preserve">GL0281</t>
  </si>
  <si>
    <t xml:space="preserve">GL0282</t>
  </si>
  <si>
    <t xml:space="preserve">GL0283</t>
  </si>
  <si>
    <t xml:space="preserve">GL0284</t>
  </si>
  <si>
    <t xml:space="preserve">GL0285</t>
  </si>
  <si>
    <t xml:space="preserve">GL0286</t>
  </si>
  <si>
    <t xml:space="preserve">GL0287</t>
  </si>
  <si>
    <t xml:space="preserve">GL0288</t>
  </si>
  <si>
    <t xml:space="preserve">GL0289</t>
  </si>
  <si>
    <t xml:space="preserve">GL0290</t>
  </si>
  <si>
    <t xml:space="preserve">GL0291</t>
  </si>
  <si>
    <t xml:space="preserve">GL0292</t>
  </si>
  <si>
    <t xml:space="preserve">GL0293</t>
  </si>
  <si>
    <t xml:space="preserve">GL0294</t>
  </si>
  <si>
    <t xml:space="preserve">GL0295</t>
  </si>
  <si>
    <t xml:space="preserve">GL0296</t>
  </si>
  <si>
    <t xml:space="preserve">GL0297</t>
  </si>
  <si>
    <t xml:space="preserve">GL0298</t>
  </si>
  <si>
    <t xml:space="preserve">GL0299</t>
  </si>
  <si>
    <t xml:space="preserve">GL0300</t>
  </si>
  <si>
    <t xml:space="preserve">GL0301</t>
  </si>
  <si>
    <t xml:space="preserve">GL0302</t>
  </si>
  <si>
    <t xml:space="preserve">GL0303</t>
  </si>
  <si>
    <t xml:space="preserve">GL0304</t>
  </si>
  <si>
    <t xml:space="preserve">GL0305</t>
  </si>
  <si>
    <t xml:space="preserve">GL0306</t>
  </si>
  <si>
    <t xml:space="preserve">GL0307</t>
  </si>
  <si>
    <t xml:space="preserve">GL0308</t>
  </si>
  <si>
    <t xml:space="preserve">GL0309</t>
  </si>
  <si>
    <t xml:space="preserve">GL0310</t>
  </si>
  <si>
    <t xml:space="preserve">GL0311</t>
  </si>
  <si>
    <t xml:space="preserve">GL0312</t>
  </si>
  <si>
    <t xml:space="preserve">GL0313</t>
  </si>
  <si>
    <t xml:space="preserve">GL0314</t>
  </si>
  <si>
    <t xml:space="preserve">GL0315</t>
  </si>
  <si>
    <t xml:space="preserve">GL0316</t>
  </si>
  <si>
    <t xml:space="preserve">GL0317</t>
  </si>
  <si>
    <t xml:space="preserve">GL0318</t>
  </si>
  <si>
    <t xml:space="preserve">GL0319</t>
  </si>
  <si>
    <t xml:space="preserve">GL0320</t>
  </si>
  <si>
    <t xml:space="preserve">GL0321</t>
  </si>
  <si>
    <t xml:space="preserve">GL0322</t>
  </si>
  <si>
    <t xml:space="preserve">GL0323</t>
  </si>
  <si>
    <t xml:space="preserve">GL0324</t>
  </si>
  <si>
    <t xml:space="preserve">GL0325</t>
  </si>
  <si>
    <t xml:space="preserve">GL0326</t>
  </si>
  <si>
    <t xml:space="preserve">GL0327</t>
  </si>
  <si>
    <t xml:space="preserve">GL0328</t>
  </si>
  <si>
    <t xml:space="preserve">GL0329</t>
  </si>
  <si>
    <t xml:space="preserve">GL0330</t>
  </si>
  <si>
    <t xml:space="preserve">GL0331</t>
  </si>
  <si>
    <t xml:space="preserve">GL0332</t>
  </si>
  <si>
    <t xml:space="preserve">GL0333</t>
  </si>
  <si>
    <t xml:space="preserve">GL0334</t>
  </si>
  <si>
    <t xml:space="preserve">GL0335</t>
  </si>
  <si>
    <t xml:space="preserve">GL0336</t>
  </si>
  <si>
    <t xml:space="preserve">GL0337</t>
  </si>
  <si>
    <t xml:space="preserve">GL0338</t>
  </si>
  <si>
    <t xml:space="preserve">GL0339</t>
  </si>
  <si>
    <t xml:space="preserve">GL0340</t>
  </si>
  <si>
    <t xml:space="preserve">GL0341</t>
  </si>
  <si>
    <t xml:space="preserve">GL0342</t>
  </si>
  <si>
    <t xml:space="preserve">GL0343</t>
  </si>
  <si>
    <t xml:space="preserve">GL0344</t>
  </si>
  <si>
    <t xml:space="preserve">GL0345</t>
  </si>
  <si>
    <t xml:space="preserve">GL0346</t>
  </si>
  <si>
    <t xml:space="preserve">GL0347</t>
  </si>
  <si>
    <t xml:space="preserve">GL0348</t>
  </si>
  <si>
    <t xml:space="preserve">GL0349</t>
  </si>
  <si>
    <t xml:space="preserve">GL0350</t>
  </si>
  <si>
    <t xml:space="preserve">GL0351</t>
  </si>
  <si>
    <t xml:space="preserve">GL0352</t>
  </si>
  <si>
    <t xml:space="preserve">GL0353</t>
  </si>
  <si>
    <t xml:space="preserve">GL0354</t>
  </si>
  <si>
    <t xml:space="preserve">GL0355</t>
  </si>
  <si>
    <t xml:space="preserve">GL0356</t>
  </si>
  <si>
    <t xml:space="preserve">GL0357</t>
  </si>
  <si>
    <t xml:space="preserve">GL0358</t>
  </si>
  <si>
    <t xml:space="preserve">RECRUITMENT  —  Open positions &amp; candidate pipeline (ATS-style)</t>
  </si>
  <si>
    <t xml:space="preserve">   Pipeline stages: Applied → Screened → Interviewed → Offered → Joined  •  Source-wise &amp; priority tracked</t>
  </si>
  <si>
    <t xml:space="preserve">  OPEN POSITIONS</t>
  </si>
  <si>
    <t xml:space="preserve">Position ID</t>
  </si>
  <si>
    <t xml:space="preserve">Days Open</t>
  </si>
  <si>
    <t xml:space="preserve">JD-001</t>
  </si>
  <si>
    <t xml:space="preserve">Senior Software Engineer</t>
  </si>
  <si>
    <t xml:space="preserve">JD-002</t>
  </si>
  <si>
    <t xml:space="preserve">JD-003</t>
  </si>
  <si>
    <t xml:space="preserve">Data Scientist</t>
  </si>
  <si>
    <t xml:space="preserve">JD-004</t>
  </si>
  <si>
    <t xml:space="preserve">Sales Executive</t>
  </si>
  <si>
    <t xml:space="preserve">JD-005</t>
  </si>
  <si>
    <t xml:space="preserve">Marketing Lead</t>
  </si>
  <si>
    <t xml:space="preserve">JD-006</t>
  </si>
  <si>
    <t xml:space="preserve">JD-007</t>
  </si>
  <si>
    <t xml:space="preserve">Customer Success Manager</t>
  </si>
  <si>
    <t xml:space="preserve">JD-008</t>
  </si>
  <si>
    <t xml:space="preserve">DevOps Engineer</t>
  </si>
  <si>
    <t xml:space="preserve">JD-009</t>
  </si>
  <si>
    <t xml:space="preserve">Financial Analyst</t>
  </si>
  <si>
    <t xml:space="preserve">JD-010</t>
  </si>
  <si>
    <t xml:space="preserve">Operations Manager</t>
  </si>
  <si>
    <t xml:space="preserve">JD-011</t>
  </si>
  <si>
    <t xml:space="preserve">UX Designer</t>
  </si>
  <si>
    <t xml:space="preserve">JD-012</t>
  </si>
  <si>
    <t xml:space="preserve">QA Engineer</t>
  </si>
  <si>
    <t xml:space="preserve">Candidate ID</t>
  </si>
  <si>
    <t xml:space="preserve">Position</t>
  </si>
  <si>
    <t xml:space="preserve">Stage</t>
  </si>
  <si>
    <t xml:space="preserve">Days in Stage</t>
  </si>
  <si>
    <t xml:space="preserve">Source</t>
  </si>
  <si>
    <t xml:space="preserve">CND-0001</t>
  </si>
  <si>
    <t xml:space="preserve">Priya Davis</t>
  </si>
  <si>
    <t xml:space="preserve">Recruiter</t>
  </si>
  <si>
    <t xml:space="preserve">CND-0002</t>
  </si>
  <si>
    <t xml:space="preserve">Kavita Patel</t>
  </si>
  <si>
    <t xml:space="preserve">CND-0003</t>
  </si>
  <si>
    <t xml:space="preserve">Karan Verma</t>
  </si>
  <si>
    <t xml:space="preserve">Indeed</t>
  </si>
  <si>
    <t xml:space="preserve">CND-0004</t>
  </si>
  <si>
    <t xml:space="preserve">David Miller</t>
  </si>
  <si>
    <t xml:space="preserve">CND-0005</t>
  </si>
  <si>
    <t xml:space="preserve">Christopher Brown</t>
  </si>
  <si>
    <t xml:space="preserve">CND-0006</t>
  </si>
  <si>
    <t xml:space="preserve">Daniel Patel</t>
  </si>
  <si>
    <t xml:space="preserve">Company Website</t>
  </si>
  <si>
    <t xml:space="preserve">CND-0007</t>
  </si>
  <si>
    <t xml:space="preserve">James Kumar</t>
  </si>
  <si>
    <t xml:space="preserve">CND-0008</t>
  </si>
  <si>
    <t xml:space="preserve">Rahul Mehta</t>
  </si>
  <si>
    <t xml:space="preserve">Naukri</t>
  </si>
  <si>
    <t xml:space="preserve">CND-0009</t>
  </si>
  <si>
    <t xml:space="preserve">Amanda Davis</t>
  </si>
  <si>
    <t xml:space="preserve">CND-0010</t>
  </si>
  <si>
    <t xml:space="preserve">Anjali Smith</t>
  </si>
  <si>
    <t xml:space="preserve">LinkedIn</t>
  </si>
  <si>
    <t xml:space="preserve">CND-0011</t>
  </si>
  <si>
    <t xml:space="preserve">Amit Miller</t>
  </si>
  <si>
    <t xml:space="preserve">Referral</t>
  </si>
  <si>
    <t xml:space="preserve">CND-0012</t>
  </si>
  <si>
    <t xml:space="preserve">CND-0013</t>
  </si>
  <si>
    <t xml:space="preserve">Neha Mehta</t>
  </si>
  <si>
    <t xml:space="preserve">CND-0014</t>
  </si>
  <si>
    <t xml:space="preserve">Kavita Verma</t>
  </si>
  <si>
    <t xml:space="preserve">CND-0015</t>
  </si>
  <si>
    <t xml:space="preserve">Robert Williams</t>
  </si>
  <si>
    <t xml:space="preserve">CND-0016</t>
  </si>
  <si>
    <t xml:space="preserve">Arjun Miller</t>
  </si>
  <si>
    <t xml:space="preserve">CND-0017</t>
  </si>
  <si>
    <t xml:space="preserve">Riya Miller</t>
  </si>
  <si>
    <t xml:space="preserve">CND-0018</t>
  </si>
  <si>
    <t xml:space="preserve">Daniel Williams</t>
  </si>
  <si>
    <t xml:space="preserve">CND-0019</t>
  </si>
  <si>
    <t xml:space="preserve">Daniel Gupta</t>
  </si>
  <si>
    <t xml:space="preserve">CND-0020</t>
  </si>
  <si>
    <t xml:space="preserve">Sarah Singh</t>
  </si>
  <si>
    <t xml:space="preserve">CND-0021</t>
  </si>
  <si>
    <t xml:space="preserve">Christopher Singh</t>
  </si>
  <si>
    <t xml:space="preserve">CND-0022</t>
  </si>
  <si>
    <t xml:space="preserve">Lisa Patel</t>
  </si>
  <si>
    <t xml:space="preserve">CND-0023</t>
  </si>
  <si>
    <t xml:space="preserve">Manoj Verma</t>
  </si>
  <si>
    <t xml:space="preserve">CND-0024</t>
  </si>
  <si>
    <t xml:space="preserve">Amit Patel</t>
  </si>
  <si>
    <t xml:space="preserve">CND-0025</t>
  </si>
  <si>
    <t xml:space="preserve">Kavita Moore</t>
  </si>
  <si>
    <t xml:space="preserve">CND-0026</t>
  </si>
  <si>
    <t xml:space="preserve">Rohit Joshi</t>
  </si>
  <si>
    <t xml:space="preserve">CND-0027</t>
  </si>
  <si>
    <t xml:space="preserve">Andrew Mehta</t>
  </si>
  <si>
    <t xml:space="preserve">CND-0028</t>
  </si>
  <si>
    <t xml:space="preserve">Divya Williams</t>
  </si>
  <si>
    <t xml:space="preserve">CND-0029</t>
  </si>
  <si>
    <t xml:space="preserve">James Johnson</t>
  </si>
  <si>
    <t xml:space="preserve">CND-0030</t>
  </si>
  <si>
    <t xml:space="preserve">Rachel Kumar</t>
  </si>
  <si>
    <t xml:space="preserve">CND-0031</t>
  </si>
  <si>
    <t xml:space="preserve">Emily Williams</t>
  </si>
  <si>
    <t xml:space="preserve">CND-0032</t>
  </si>
  <si>
    <t xml:space="preserve">Anjali Sharma</t>
  </si>
  <si>
    <t xml:space="preserve">CND-0033</t>
  </si>
  <si>
    <t xml:space="preserve">Christopher Johnson</t>
  </si>
  <si>
    <t xml:space="preserve">CND-0034</t>
  </si>
  <si>
    <t xml:space="preserve">Daniel Mehta</t>
  </si>
  <si>
    <t xml:space="preserve">CND-0035</t>
  </si>
  <si>
    <t xml:space="preserve">Michael Moore</t>
  </si>
  <si>
    <t xml:space="preserve">CND-0036</t>
  </si>
  <si>
    <t xml:space="preserve">Rachel Gupta</t>
  </si>
  <si>
    <t xml:space="preserve">CND-0037</t>
  </si>
  <si>
    <t xml:space="preserve">Megan Gupta</t>
  </si>
  <si>
    <t xml:space="preserve">CND-0038</t>
  </si>
  <si>
    <t xml:space="preserve">CND-0039</t>
  </si>
  <si>
    <t xml:space="preserve">CND-0040</t>
  </si>
  <si>
    <t xml:space="preserve">CND-0041</t>
  </si>
  <si>
    <t xml:space="preserve">Andrew Moore</t>
  </si>
  <si>
    <t xml:space="preserve">CND-0042</t>
  </si>
  <si>
    <t xml:space="preserve">Christopher Sharma</t>
  </si>
  <si>
    <t xml:space="preserve">CND-0043</t>
  </si>
  <si>
    <t xml:space="preserve">David Sharma</t>
  </si>
  <si>
    <t xml:space="preserve">CND-0044</t>
  </si>
  <si>
    <t xml:space="preserve">Riya Kumar</t>
  </si>
  <si>
    <t xml:space="preserve">CND-0045</t>
  </si>
  <si>
    <t xml:space="preserve">Manoj Smith</t>
  </si>
  <si>
    <t xml:space="preserve">CND-0046</t>
  </si>
  <si>
    <t xml:space="preserve">Emily Davis</t>
  </si>
  <si>
    <t xml:space="preserve">CND-0047</t>
  </si>
  <si>
    <t xml:space="preserve">Arjun Johnson</t>
  </si>
  <si>
    <t xml:space="preserve">CND-0048</t>
  </si>
  <si>
    <t xml:space="preserve">CND-0049</t>
  </si>
  <si>
    <t xml:space="preserve">Andrew Verma</t>
  </si>
  <si>
    <t xml:space="preserve">CND-0050</t>
  </si>
  <si>
    <t xml:space="preserve">Megan Miller</t>
  </si>
  <si>
    <t xml:space="preserve">CND-0051</t>
  </si>
  <si>
    <t xml:space="preserve">Vikram Verma</t>
  </si>
  <si>
    <t xml:space="preserve">CND-0052</t>
  </si>
  <si>
    <t xml:space="preserve">Andrew Smith</t>
  </si>
  <si>
    <t xml:space="preserve">CND-0053</t>
  </si>
  <si>
    <t xml:space="preserve">CND-0054</t>
  </si>
  <si>
    <t xml:space="preserve">Anjali Davis</t>
  </si>
  <si>
    <t xml:space="preserve">CND-0055</t>
  </si>
  <si>
    <t xml:space="preserve">Divya Davis</t>
  </si>
  <si>
    <t xml:space="preserve">CND-0056</t>
  </si>
  <si>
    <t xml:space="preserve">Rahul Patel</t>
  </si>
  <si>
    <t xml:space="preserve">CND-0057</t>
  </si>
  <si>
    <t xml:space="preserve">Vikram Miller</t>
  </si>
  <si>
    <t xml:space="preserve">CND-0058</t>
  </si>
  <si>
    <t xml:space="preserve">Jessica Williams</t>
  </si>
  <si>
    <t xml:space="preserve">CND-0059</t>
  </si>
  <si>
    <t xml:space="preserve">Megan Mehta</t>
  </si>
  <si>
    <t xml:space="preserve">CND-0060</t>
  </si>
  <si>
    <t xml:space="preserve">Riya Davis</t>
  </si>
  <si>
    <t xml:space="preserve">CND-0061</t>
  </si>
  <si>
    <t xml:space="preserve">Divya Patel</t>
  </si>
  <si>
    <t xml:space="preserve">CND-0062</t>
  </si>
  <si>
    <t xml:space="preserve">CND-0063</t>
  </si>
  <si>
    <t xml:space="preserve">Rohit Johnson</t>
  </si>
  <si>
    <t xml:space="preserve">CND-0064</t>
  </si>
  <si>
    <t xml:space="preserve">CND-0065</t>
  </si>
  <si>
    <t xml:space="preserve">Christopher Kumar</t>
  </si>
  <si>
    <t xml:space="preserve">CND-0066</t>
  </si>
  <si>
    <t xml:space="preserve">Sneha Williams</t>
  </si>
  <si>
    <t xml:space="preserve">CND-0067</t>
  </si>
  <si>
    <t xml:space="preserve">CND-0068</t>
  </si>
  <si>
    <t xml:space="preserve">Sanjay Davis</t>
  </si>
  <si>
    <t xml:space="preserve">CND-0069</t>
  </si>
  <si>
    <t xml:space="preserve">Jennifer Moore</t>
  </si>
  <si>
    <t xml:space="preserve">CND-0070</t>
  </si>
  <si>
    <t xml:space="preserve">Jennifer Miller</t>
  </si>
  <si>
    <t xml:space="preserve">CND-0071</t>
  </si>
  <si>
    <t xml:space="preserve">Michael Mehta</t>
  </si>
  <si>
    <t xml:space="preserve">COMPLIANCE CALENDAR  —  Statutory deadlines &amp; filings (India + US)</t>
  </si>
  <si>
    <t xml:space="preserve">   Days Until = Due Date − Report Date  •  Status auto-classified: Overdue / Critical (≤7) / Upcoming (≤30) / Scheduled</t>
  </si>
  <si>
    <t xml:space="preserve">Compliance ID</t>
  </si>
  <si>
    <t xml:space="preserve">Authority</t>
  </si>
  <si>
    <t xml:space="preserve">Frequency</t>
  </si>
  <si>
    <t xml:space="preserve">Days Until</t>
  </si>
  <si>
    <t xml:space="preserve">Income Tax Dept</t>
  </si>
  <si>
    <t xml:space="preserve">Monthly</t>
  </si>
  <si>
    <t xml:space="preserve">EPFO</t>
  </si>
  <si>
    <t xml:space="preserve">ESIC</t>
  </si>
  <si>
    <t xml:space="preserve">State Govt</t>
  </si>
  <si>
    <t xml:space="preserve">Internal</t>
  </si>
  <si>
    <t xml:space="preserve">As-needed</t>
  </si>
  <si>
    <t xml:space="preserve">State</t>
  </si>
  <si>
    <t xml:space="preserve">Quarterly</t>
  </si>
  <si>
    <t xml:space="preserve">CMP-005</t>
  </si>
  <si>
    <t xml:space="preserve">Professional Tax (Maharashtra)</t>
  </si>
  <si>
    <t xml:space="preserve">CMP-006</t>
  </si>
  <si>
    <t xml:space="preserve">Quarterly TDS Return (Q4 FY25-26)</t>
  </si>
  <si>
    <t xml:space="preserve">CMP-011</t>
  </si>
  <si>
    <t xml:space="preserve">Federal 941 Quarterly Filing</t>
  </si>
  <si>
    <t xml:space="preserve">Federal Tax</t>
  </si>
  <si>
    <t xml:space="preserve">IRS</t>
  </si>
  <si>
    <t xml:space="preserve">CMP-014</t>
  </si>
  <si>
    <t xml:space="preserve">I-9 Verification Audit</t>
  </si>
  <si>
    <t xml:space="preserve">Immigration</t>
  </si>
  <si>
    <t xml:space="preserve">USCIS</t>
  </si>
  <si>
    <t xml:space="preserve">CMP-016</t>
  </si>
  <si>
    <t xml:space="preserve">Labour Welfare Fund</t>
  </si>
  <si>
    <t xml:space="preserve">LWF</t>
  </si>
  <si>
    <t xml:space="preserve">Bi-Annual</t>
  </si>
  <si>
    <t xml:space="preserve">CMP-007</t>
  </si>
  <si>
    <t xml:space="preserve">Form 16 Distribution to Employees</t>
  </si>
  <si>
    <t xml:space="preserve">Annual</t>
  </si>
  <si>
    <t xml:space="preserve">CMP-015</t>
  </si>
  <si>
    <t xml:space="preserve">EEO-1 Report Filing</t>
  </si>
  <si>
    <t xml:space="preserve">EEO</t>
  </si>
  <si>
    <t xml:space="preserve">EEOC</t>
  </si>
  <si>
    <t xml:space="preserve">CMP-009</t>
  </si>
  <si>
    <t xml:space="preserve">Annual Return - Shops &amp; Establishments</t>
  </si>
  <si>
    <t xml:space="preserve">S&amp;E Act</t>
  </si>
  <si>
    <t xml:space="preserve">State Labour Dept</t>
  </si>
  <si>
    <t xml:space="preserve">CMP-018</t>
  </si>
  <si>
    <t xml:space="preserve">ACA 1095-C Forms</t>
  </si>
  <si>
    <t xml:space="preserve">Healthcare</t>
  </si>
  <si>
    <t xml:space="preserve">CMP-013</t>
  </si>
  <si>
    <t xml:space="preserve">W-2 Forms to Employees</t>
  </si>
  <si>
    <t xml:space="preserve">CMP-010</t>
  </si>
  <si>
    <t xml:space="preserve">POSH Annual Report Filing</t>
  </si>
  <si>
    <t xml:space="preserve">POSH</t>
  </si>
  <si>
    <t xml:space="preserve">District Officer</t>
  </si>
  <si>
    <t xml:space="preserve">CMP-017</t>
  </si>
  <si>
    <t xml:space="preserve">Bonus Act Compliance Filing</t>
  </si>
  <si>
    <t xml:space="preserve">Bonus Act</t>
  </si>
  <si>
    <t xml:space="preserve">Labour Commissioner</t>
  </si>
  <si>
    <t xml:space="preserve">TRAINING &amp; DEVELOPMENT  —  Programs, enrollments &amp; completion tracking</t>
  </si>
  <si>
    <t xml:space="preserve">   8 programs (4 mandatory)  •  Status: Not Started / In Progress / Completed  •  Completion % drives progress bars</t>
  </si>
  <si>
    <t xml:space="preserve">  TRAINING PROGRAMS CATALOG</t>
  </si>
  <si>
    <t xml:space="preserve">Train ID</t>
  </si>
  <si>
    <t xml:space="preserve">Duration (hrs)</t>
  </si>
  <si>
    <t xml:space="preserve">Mandatory</t>
  </si>
  <si>
    <t xml:space="preserve">Enrolled</t>
  </si>
  <si>
    <t xml:space="preserve">Completion %</t>
  </si>
  <si>
    <t xml:space="preserve">TRN-001</t>
  </si>
  <si>
    <t xml:space="preserve">Leadership Excellence Program</t>
  </si>
  <si>
    <t xml:space="preserve">Leadership</t>
  </si>
  <si>
    <t xml:space="preserve">Optional</t>
  </si>
  <si>
    <t xml:space="preserve">Manager+</t>
  </si>
  <si>
    <t xml:space="preserve">TRN-002</t>
  </si>
  <si>
    <t xml:space="preserve">Workplace Safety &amp; POSH</t>
  </si>
  <si>
    <t xml:space="preserve">Compliance</t>
  </si>
  <si>
    <t xml:space="preserve">✓ Yes</t>
  </si>
  <si>
    <t xml:space="preserve">All Employees</t>
  </si>
  <si>
    <t xml:space="preserve">TRN-003</t>
  </si>
  <si>
    <t xml:space="preserve">Cloud Computing - AWS Foundation</t>
  </si>
  <si>
    <t xml:space="preserve">Technical</t>
  </si>
  <si>
    <t xml:space="preserve">TRN-004</t>
  </si>
  <si>
    <t xml:space="preserve">Customer Communication Skills</t>
  </si>
  <si>
    <t xml:space="preserve">Soft Skills</t>
  </si>
  <si>
    <t xml:space="preserve">Customer-facing</t>
  </si>
  <si>
    <t xml:space="preserve">TRN-005</t>
  </si>
  <si>
    <t xml:space="preserve">Data Privacy &amp; GDPR</t>
  </si>
  <si>
    <t xml:space="preserve">TRN-006</t>
  </si>
  <si>
    <t xml:space="preserve">Sales Negotiation Mastery</t>
  </si>
  <si>
    <t xml:space="preserve">Sales Team</t>
  </si>
  <si>
    <t xml:space="preserve">TRN-007</t>
  </si>
  <si>
    <t xml:space="preserve">Agile &amp; Scrum Certification</t>
  </si>
  <si>
    <t xml:space="preserve">Methodology</t>
  </si>
  <si>
    <t xml:space="preserve">Engineering/Product</t>
  </si>
  <si>
    <t xml:space="preserve">TRN-008</t>
  </si>
  <si>
    <t xml:space="preserve">Diversity &amp; Inclusion Workshop</t>
  </si>
  <si>
    <t xml:space="preserve">Culture</t>
  </si>
  <si>
    <t xml:space="preserve">  EMPLOYEE ENROLLMENTS</t>
  </si>
  <si>
    <t xml:space="preserve">Enroll ID</t>
  </si>
  <si>
    <t xml:space="preserve">Program</t>
  </si>
  <si>
    <t xml:space="preserve">ENR-0001</t>
  </si>
  <si>
    <t xml:space="preserve">ENR-0002</t>
  </si>
  <si>
    <t xml:space="preserve">ENR-0003</t>
  </si>
  <si>
    <t xml:space="preserve">ENR-0004</t>
  </si>
  <si>
    <t xml:space="preserve">In Progress</t>
  </si>
  <si>
    <t xml:space="preserve">ENR-0005</t>
  </si>
  <si>
    <t xml:space="preserve">ENR-0006</t>
  </si>
  <si>
    <t xml:space="preserve">ENR-0007</t>
  </si>
  <si>
    <t xml:space="preserve">ENR-0008</t>
  </si>
  <si>
    <t xml:space="preserve">Not Started</t>
  </si>
  <si>
    <t xml:space="preserve">ENR-0009</t>
  </si>
  <si>
    <t xml:space="preserve">ENR-0010</t>
  </si>
  <si>
    <t xml:space="preserve">ENR-0011</t>
  </si>
  <si>
    <t xml:space="preserve">ENR-0012</t>
  </si>
  <si>
    <t xml:space="preserve">ENR-0013</t>
  </si>
  <si>
    <t xml:space="preserve">ENR-0014</t>
  </si>
  <si>
    <t xml:space="preserve">ENR-0015</t>
  </si>
  <si>
    <t xml:space="preserve">ENR-0016</t>
  </si>
  <si>
    <t xml:space="preserve">ENR-0017</t>
  </si>
  <si>
    <t xml:space="preserve">ENR-0018</t>
  </si>
  <si>
    <t xml:space="preserve">ENR-0019</t>
  </si>
  <si>
    <t xml:space="preserve">ENR-0020</t>
  </si>
  <si>
    <t xml:space="preserve">ENR-0021</t>
  </si>
  <si>
    <t xml:space="preserve">ENR-0022</t>
  </si>
  <si>
    <t xml:space="preserve">ENR-0023</t>
  </si>
  <si>
    <t xml:space="preserve">ENR-0024</t>
  </si>
  <si>
    <t xml:space="preserve">ENR-0025</t>
  </si>
  <si>
    <t xml:space="preserve">ENR-0026</t>
  </si>
  <si>
    <t xml:space="preserve">ENR-0027</t>
  </si>
  <si>
    <t xml:space="preserve">ENR-0028</t>
  </si>
  <si>
    <t xml:space="preserve">ENR-0029</t>
  </si>
  <si>
    <t xml:space="preserve">ENR-0030</t>
  </si>
  <si>
    <t xml:space="preserve">ENR-0031</t>
  </si>
  <si>
    <t xml:space="preserve">ENR-0032</t>
  </si>
  <si>
    <t xml:space="preserve">ENR-0033</t>
  </si>
  <si>
    <t xml:space="preserve">ENR-0034</t>
  </si>
  <si>
    <t xml:space="preserve">ENR-0035</t>
  </si>
  <si>
    <t xml:space="preserve">ENR-0036</t>
  </si>
  <si>
    <t xml:space="preserve">ENR-0037</t>
  </si>
  <si>
    <t xml:space="preserve">ENR-0038</t>
  </si>
  <si>
    <t xml:space="preserve">ENR-0039</t>
  </si>
  <si>
    <t xml:space="preserve">ENR-0040</t>
  </si>
  <si>
    <t xml:space="preserve">ENR-0041</t>
  </si>
  <si>
    <t xml:space="preserve">ENR-0042</t>
  </si>
  <si>
    <t xml:space="preserve">ENR-0043</t>
  </si>
  <si>
    <t xml:space="preserve">ENR-0044</t>
  </si>
  <si>
    <t xml:space="preserve">ENR-0045</t>
  </si>
  <si>
    <t xml:space="preserve">ENR-0046</t>
  </si>
  <si>
    <t xml:space="preserve">ENR-0047</t>
  </si>
  <si>
    <t xml:space="preserve">ENR-0048</t>
  </si>
  <si>
    <t xml:space="preserve">ENR-0049</t>
  </si>
  <si>
    <t xml:space="preserve">ENR-0050</t>
  </si>
  <si>
    <t xml:space="preserve">ENR-0051</t>
  </si>
  <si>
    <t xml:space="preserve">ENR-0052</t>
  </si>
  <si>
    <t xml:space="preserve">ENR-0053</t>
  </si>
  <si>
    <t xml:space="preserve">ENR-0054</t>
  </si>
  <si>
    <t xml:space="preserve">ENR-0055</t>
  </si>
  <si>
    <t xml:space="preserve">ENR-0056</t>
  </si>
  <si>
    <t xml:space="preserve">ENR-0057</t>
  </si>
  <si>
    <t xml:space="preserve">ENR-0058</t>
  </si>
  <si>
    <t xml:space="preserve">ENR-0059</t>
  </si>
  <si>
    <t xml:space="preserve">ENR-0060</t>
  </si>
  <si>
    <t xml:space="preserve">ENR-0061</t>
  </si>
  <si>
    <t xml:space="preserve">ENR-0062</t>
  </si>
  <si>
    <t xml:space="preserve">ENR-0063</t>
  </si>
  <si>
    <t xml:space="preserve">ENR-0064</t>
  </si>
  <si>
    <t xml:space="preserve">ENR-0065</t>
  </si>
  <si>
    <t xml:space="preserve">ENR-0066</t>
  </si>
  <si>
    <t xml:space="preserve">ENR-0067</t>
  </si>
  <si>
    <t xml:space="preserve">ENR-0068</t>
  </si>
  <si>
    <t xml:space="preserve">ENR-0069</t>
  </si>
  <si>
    <t xml:space="preserve">ENR-0070</t>
  </si>
  <si>
    <t xml:space="preserve">ENR-0071</t>
  </si>
  <si>
    <t xml:space="preserve">ENR-0072</t>
  </si>
  <si>
    <t xml:space="preserve">ENR-0073</t>
  </si>
  <si>
    <t xml:space="preserve">ENR-0074</t>
  </si>
  <si>
    <t xml:space="preserve">ENR-0075</t>
  </si>
  <si>
    <t xml:space="preserve">ENR-0076</t>
  </si>
  <si>
    <t xml:space="preserve">ENR-0077</t>
  </si>
  <si>
    <t xml:space="preserve">ENR-0078</t>
  </si>
  <si>
    <t xml:space="preserve">ENR-0079</t>
  </si>
  <si>
    <t xml:space="preserve">ENR-0080</t>
  </si>
  <si>
    <t xml:space="preserve">ENR-0081</t>
  </si>
  <si>
    <t xml:space="preserve">ENR-0082</t>
  </si>
  <si>
    <t xml:space="preserve">ENR-0083</t>
  </si>
  <si>
    <t xml:space="preserve">ENR-0084</t>
  </si>
  <si>
    <t xml:space="preserve">ENR-0085</t>
  </si>
  <si>
    <t xml:space="preserve">ENR-0086</t>
  </si>
  <si>
    <t xml:space="preserve">ENR-0087</t>
  </si>
  <si>
    <t xml:space="preserve">ENR-0088</t>
  </si>
  <si>
    <t xml:space="preserve">ENR-0089</t>
  </si>
  <si>
    <t xml:space="preserve">ENR-0090</t>
  </si>
  <si>
    <t xml:space="preserve">ENR-0091</t>
  </si>
  <si>
    <t xml:space="preserve">ENR-0092</t>
  </si>
  <si>
    <t xml:space="preserve">ENR-0093</t>
  </si>
  <si>
    <t xml:space="preserve">ENR-0094</t>
  </si>
  <si>
    <t xml:space="preserve">ENR-0095</t>
  </si>
  <si>
    <t xml:space="preserve">ENR-0096</t>
  </si>
  <si>
    <t xml:space="preserve">ENR-0097</t>
  </si>
  <si>
    <t xml:space="preserve">ENR-0098</t>
  </si>
  <si>
    <t xml:space="preserve">ENR-0099</t>
  </si>
  <si>
    <t xml:space="preserve">ENR-0100</t>
  </si>
  <si>
    <t xml:space="preserve">ENR-0101</t>
  </si>
  <si>
    <t xml:space="preserve">ENR-0102</t>
  </si>
  <si>
    <t xml:space="preserve">ENR-0103</t>
  </si>
  <si>
    <t xml:space="preserve">ENR-0104</t>
  </si>
  <si>
    <t xml:space="preserve">ENR-0105</t>
  </si>
  <si>
    <t xml:space="preserve">ENR-0106</t>
  </si>
  <si>
    <t xml:space="preserve">ENR-0107</t>
  </si>
  <si>
    <t xml:space="preserve">ENR-0108</t>
  </si>
  <si>
    <t xml:space="preserve">ENR-0109</t>
  </si>
  <si>
    <t xml:space="preserve">ENR-0110</t>
  </si>
  <si>
    <t xml:space="preserve">ENR-0111</t>
  </si>
  <si>
    <t xml:space="preserve">ENR-0112</t>
  </si>
  <si>
    <t xml:space="preserve">ENR-0113</t>
  </si>
  <si>
    <t xml:space="preserve">ENR-0114</t>
  </si>
  <si>
    <t xml:space="preserve">ENR-0115</t>
  </si>
  <si>
    <t xml:space="preserve">ENR-0116</t>
  </si>
  <si>
    <t xml:space="preserve">ENR-0117</t>
  </si>
  <si>
    <t xml:space="preserve">ENR-0118</t>
  </si>
  <si>
    <t xml:space="preserve">ENR-0119</t>
  </si>
  <si>
    <t xml:space="preserve">ENR-0120</t>
  </si>
  <si>
    <t xml:space="preserve">ENR-0121</t>
  </si>
  <si>
    <t xml:space="preserve">ENR-0122</t>
  </si>
  <si>
    <t xml:space="preserve">ENR-0123</t>
  </si>
  <si>
    <t xml:space="preserve">ENR-0124</t>
  </si>
  <si>
    <t xml:space="preserve">ENR-0125</t>
  </si>
  <si>
    <t xml:space="preserve">ENR-0126</t>
  </si>
  <si>
    <t xml:space="preserve">ENR-0127</t>
  </si>
  <si>
    <t xml:space="preserve">ENR-0128</t>
  </si>
  <si>
    <t xml:space="preserve">ENR-0129</t>
  </si>
  <si>
    <t xml:space="preserve">ENR-0130</t>
  </si>
  <si>
    <t xml:space="preserve">ENR-0131</t>
  </si>
  <si>
    <t xml:space="preserve">ENR-0132</t>
  </si>
  <si>
    <t xml:space="preserve">ENR-0133</t>
  </si>
  <si>
    <t xml:space="preserve">ENR-0134</t>
  </si>
  <si>
    <t xml:space="preserve">ENR-0135</t>
  </si>
  <si>
    <t xml:space="preserve">ENR-0136</t>
  </si>
  <si>
    <t xml:space="preserve">ENR-0137</t>
  </si>
  <si>
    <t xml:space="preserve">ENR-0138</t>
  </si>
  <si>
    <t xml:space="preserve">ENR-0139</t>
  </si>
  <si>
    <t xml:space="preserve">ENR-0140</t>
  </si>
  <si>
    <t xml:space="preserve">ENR-0141</t>
  </si>
  <si>
    <t xml:space="preserve">ENR-0142</t>
  </si>
  <si>
    <t xml:space="preserve">ENR-0143</t>
  </si>
  <si>
    <t xml:space="preserve">ENR-0144</t>
  </si>
  <si>
    <t xml:space="preserve">ENR-0145</t>
  </si>
  <si>
    <t xml:space="preserve">ENR-0146</t>
  </si>
  <si>
    <t xml:space="preserve">ENR-0147</t>
  </si>
  <si>
    <t xml:space="preserve">ENR-0148</t>
  </si>
  <si>
    <t xml:space="preserve">ENR-0149</t>
  </si>
  <si>
    <t xml:space="preserve">ENR-0150</t>
  </si>
  <si>
    <t xml:space="preserve">ENR-0151</t>
  </si>
  <si>
    <t xml:space="preserve">ENR-0152</t>
  </si>
  <si>
    <t xml:space="preserve">ENR-0153</t>
  </si>
  <si>
    <t xml:space="preserve">ENR-0154</t>
  </si>
  <si>
    <t xml:space="preserve">ENR-0155</t>
  </si>
  <si>
    <t xml:space="preserve">ENR-0156</t>
  </si>
  <si>
    <t xml:space="preserve">ENR-0157</t>
  </si>
  <si>
    <t xml:space="preserve">ENR-0158</t>
  </si>
  <si>
    <t xml:space="preserve">ENR-0159</t>
  </si>
  <si>
    <t xml:space="preserve">ENR-0160</t>
  </si>
  <si>
    <t xml:space="preserve">ENR-0161</t>
  </si>
  <si>
    <t xml:space="preserve">ENR-0162</t>
  </si>
  <si>
    <t xml:space="preserve">ENR-0163</t>
  </si>
  <si>
    <t xml:space="preserve">ENR-0164</t>
  </si>
  <si>
    <t xml:space="preserve">ENR-0165</t>
  </si>
  <si>
    <t xml:space="preserve">ENR-0166</t>
  </si>
  <si>
    <t xml:space="preserve">ENR-0167</t>
  </si>
  <si>
    <t xml:space="preserve">ENR-0168</t>
  </si>
  <si>
    <t xml:space="preserve">ENR-0169</t>
  </si>
  <si>
    <t xml:space="preserve">ENR-0170</t>
  </si>
  <si>
    <t xml:space="preserve">ENR-0171</t>
  </si>
  <si>
    <t xml:space="preserve">ENR-0172</t>
  </si>
  <si>
    <t xml:space="preserve">ENR-0173</t>
  </si>
  <si>
    <t xml:space="preserve">ENR-0174</t>
  </si>
  <si>
    <t xml:space="preserve">ENR-0175</t>
  </si>
  <si>
    <t xml:space="preserve">ENR-0176</t>
  </si>
  <si>
    <t xml:space="preserve">ENR-0177</t>
  </si>
  <si>
    <t xml:space="preserve">ENR-0178</t>
  </si>
  <si>
    <t xml:space="preserve">ENR-0179</t>
  </si>
  <si>
    <t xml:space="preserve">ENR-0180</t>
  </si>
  <si>
    <t xml:space="preserve">ENR-0181</t>
  </si>
  <si>
    <t xml:space="preserve">ENR-0182</t>
  </si>
  <si>
    <t xml:space="preserve">ENR-0183</t>
  </si>
  <si>
    <t xml:space="preserve">ENR-0184</t>
  </si>
  <si>
    <t xml:space="preserve">ENR-0185</t>
  </si>
  <si>
    <t xml:space="preserve">ENR-0186</t>
  </si>
  <si>
    <t xml:space="preserve">ENR-0187</t>
  </si>
  <si>
    <t xml:space="preserve">ENR-0188</t>
  </si>
  <si>
    <t xml:space="preserve">ENR-0189</t>
  </si>
  <si>
    <t xml:space="preserve">ENR-0190</t>
  </si>
  <si>
    <t xml:space="preserve">ENR-0191</t>
  </si>
  <si>
    <t xml:space="preserve">ENR-0192</t>
  </si>
  <si>
    <t xml:space="preserve">ENR-0193</t>
  </si>
  <si>
    <t xml:space="preserve">ENR-0194</t>
  </si>
  <si>
    <t xml:space="preserve">ENR-0195</t>
  </si>
  <si>
    <t xml:space="preserve">ENR-0196</t>
  </si>
  <si>
    <t xml:space="preserve">ENR-0197</t>
  </si>
  <si>
    <t xml:space="preserve">ENR-0198</t>
  </si>
  <si>
    <t xml:space="preserve">ENR-0199</t>
  </si>
  <si>
    <t xml:space="preserve">ENR-0200</t>
  </si>
  <si>
    <t xml:space="preserve">ENR-0201</t>
  </si>
  <si>
    <t xml:space="preserve">ENR-0202</t>
  </si>
  <si>
    <t xml:space="preserve">ENR-0203</t>
  </si>
  <si>
    <t xml:space="preserve">ENR-0204</t>
  </si>
  <si>
    <t xml:space="preserve">ENR-0205</t>
  </si>
  <si>
    <t xml:space="preserve">ENR-0206</t>
  </si>
  <si>
    <t xml:space="preserve">ENR-0207</t>
  </si>
  <si>
    <t xml:space="preserve">ENR-0208</t>
  </si>
  <si>
    <t xml:space="preserve">ENR-0209</t>
  </si>
  <si>
    <t xml:space="preserve">ENR-0210</t>
  </si>
  <si>
    <t xml:space="preserve">ENR-0211</t>
  </si>
  <si>
    <t xml:space="preserve">ENR-0212</t>
  </si>
  <si>
    <t xml:space="preserve">ENR-0213</t>
  </si>
  <si>
    <t xml:space="preserve">ENR-0214</t>
  </si>
  <si>
    <t xml:space="preserve">ENR-0215</t>
  </si>
  <si>
    <t xml:space="preserve">ENR-0216</t>
  </si>
  <si>
    <t xml:space="preserve">ENR-0217</t>
  </si>
  <si>
    <t xml:space="preserve">ENR-0218</t>
  </si>
  <si>
    <t xml:space="preserve">ENR-0219</t>
  </si>
  <si>
    <t xml:space="preserve">ENR-0220</t>
  </si>
  <si>
    <t xml:space="preserve">ENR-0221</t>
  </si>
  <si>
    <t xml:space="preserve">ENR-0222</t>
  </si>
  <si>
    <t xml:space="preserve">ENR-0223</t>
  </si>
  <si>
    <t xml:space="preserve">ENR-0224</t>
  </si>
  <si>
    <t xml:space="preserve">ENR-0225</t>
  </si>
  <si>
    <t xml:space="preserve">ENR-0226</t>
  </si>
  <si>
    <t xml:space="preserve">ENR-0227</t>
  </si>
  <si>
    <t xml:space="preserve">ENR-0228</t>
  </si>
  <si>
    <t xml:space="preserve">ENR-0229</t>
  </si>
  <si>
    <t xml:space="preserve">ENR-0230</t>
  </si>
  <si>
    <t xml:space="preserve">ENR-0231</t>
  </si>
  <si>
    <t xml:space="preserve">ENR-0232</t>
  </si>
  <si>
    <t xml:space="preserve">ENR-0233</t>
  </si>
  <si>
    <t xml:space="preserve">ENR-0234</t>
  </si>
  <si>
    <t xml:space="preserve">ENR-0235</t>
  </si>
  <si>
    <t xml:space="preserve">ENR-0236</t>
  </si>
  <si>
    <t xml:space="preserve">ENR-0237</t>
  </si>
  <si>
    <t xml:space="preserve">ENR-0238</t>
  </si>
  <si>
    <t xml:space="preserve">ENR-0239</t>
  </si>
  <si>
    <t xml:space="preserve">ENR-0240</t>
  </si>
  <si>
    <t xml:space="preserve">ENR-0241</t>
  </si>
  <si>
    <t xml:space="preserve">ENR-0242</t>
  </si>
  <si>
    <t xml:space="preserve">ENR-0243</t>
  </si>
  <si>
    <t xml:space="preserve">ENR-0244</t>
  </si>
  <si>
    <t xml:space="preserve">ENR-0245</t>
  </si>
  <si>
    <t xml:space="preserve">ENR-0246</t>
  </si>
  <si>
    <t xml:space="preserve">ENR-0247</t>
  </si>
  <si>
    <t xml:space="preserve">ENR-0248</t>
  </si>
  <si>
    <t xml:space="preserve">ENR-0249</t>
  </si>
  <si>
    <t xml:space="preserve">ENR-0250</t>
  </si>
  <si>
    <t xml:space="preserve">ENR-0251</t>
  </si>
  <si>
    <t xml:space="preserve">ENR-0252</t>
  </si>
  <si>
    <t xml:space="preserve">ENR-0253</t>
  </si>
  <si>
    <t xml:space="preserve">ENR-0254</t>
  </si>
  <si>
    <t xml:space="preserve">ENR-0255</t>
  </si>
  <si>
    <t xml:space="preserve">ENR-0256</t>
  </si>
  <si>
    <t xml:space="preserve">ENR-0257</t>
  </si>
  <si>
    <t xml:space="preserve">ENR-0258</t>
  </si>
  <si>
    <t xml:space="preserve">ENR-0259</t>
  </si>
  <si>
    <t xml:space="preserve">ENR-0260</t>
  </si>
  <si>
    <t xml:space="preserve">ENR-0261</t>
  </si>
  <si>
    <t xml:space="preserve">ENR-0262</t>
  </si>
  <si>
    <t xml:space="preserve">ENR-0263</t>
  </si>
  <si>
    <t xml:space="preserve">ENR-0264</t>
  </si>
  <si>
    <t xml:space="preserve">ENR-0265</t>
  </si>
  <si>
    <t xml:space="preserve">ENR-0266</t>
  </si>
  <si>
    <t xml:space="preserve">ENR-0267</t>
  </si>
  <si>
    <t xml:space="preserve">ENR-0268</t>
  </si>
  <si>
    <t xml:space="preserve">ENR-0269</t>
  </si>
  <si>
    <t xml:space="preserve">ENR-0270</t>
  </si>
  <si>
    <t xml:space="preserve">ENR-0271</t>
  </si>
  <si>
    <t xml:space="preserve">ENR-0272</t>
  </si>
  <si>
    <t xml:space="preserve">ENR-0273</t>
  </si>
  <si>
    <t xml:space="preserve">ENR-0274</t>
  </si>
  <si>
    <t xml:space="preserve">ENR-0275</t>
  </si>
  <si>
    <t xml:space="preserve">ENR-0276</t>
  </si>
  <si>
    <t xml:space="preserve">ENR-0277</t>
  </si>
  <si>
    <t xml:space="preserve">ENR-0278</t>
  </si>
  <si>
    <t xml:space="preserve">ENR-0279</t>
  </si>
  <si>
    <t xml:space="preserve">ENR-0280</t>
  </si>
  <si>
    <t xml:space="preserve">ENR-0281</t>
  </si>
  <si>
    <t xml:space="preserve">ENR-0282</t>
  </si>
  <si>
    <t xml:space="preserve">ENR-0283</t>
  </si>
  <si>
    <t xml:space="preserve">ENR-0284</t>
  </si>
  <si>
    <t xml:space="preserve">ENR-0285</t>
  </si>
  <si>
    <t xml:space="preserve">ENR-0286</t>
  </si>
  <si>
    <t xml:space="preserve">ENR-0287</t>
  </si>
  <si>
    <t xml:space="preserve">ENR-0288</t>
  </si>
  <si>
    <t xml:space="preserve">ENR-0289</t>
  </si>
  <si>
    <t xml:space="preserve">ENR-0290</t>
  </si>
  <si>
    <t xml:space="preserve">ENR-0291</t>
  </si>
  <si>
    <t xml:space="preserve">ENR-0292</t>
  </si>
  <si>
    <t xml:space="preserve">ENR-0293</t>
  </si>
  <si>
    <t xml:space="preserve">ENR-0294</t>
  </si>
  <si>
    <t xml:space="preserve">ENR-0295</t>
  </si>
  <si>
    <t xml:space="preserve">ENR-0296</t>
  </si>
  <si>
    <t xml:space="preserve">ENR-0297</t>
  </si>
  <si>
    <t xml:space="preserve">ENR-0298</t>
  </si>
  <si>
    <t xml:space="preserve">ENR-0299</t>
  </si>
  <si>
    <t xml:space="preserve">ENR-0300</t>
  </si>
  <si>
    <t xml:space="preserve">ENR-0301</t>
  </si>
  <si>
    <t xml:space="preserve">ENR-0302</t>
  </si>
  <si>
    <t xml:space="preserve">ENR-0303</t>
  </si>
  <si>
    <t xml:space="preserve">ENR-0304</t>
  </si>
  <si>
    <t xml:space="preserve">ENR-0305</t>
  </si>
  <si>
    <t xml:space="preserve">ENR-0306</t>
  </si>
  <si>
    <t xml:space="preserve">ENR-0307</t>
  </si>
  <si>
    <t xml:space="preserve">ENR-0308</t>
  </si>
  <si>
    <t xml:space="preserve">ENR-0309</t>
  </si>
  <si>
    <t xml:space="preserve">ENR-0310</t>
  </si>
  <si>
    <t xml:space="preserve">ENR-0311</t>
  </si>
  <si>
    <t xml:space="preserve">ENR-0312</t>
  </si>
  <si>
    <t xml:space="preserve">ENR-0313</t>
  </si>
  <si>
    <t xml:space="preserve">ENR-0314</t>
  </si>
  <si>
    <t xml:space="preserve">ENR-0315</t>
  </si>
  <si>
    <t xml:space="preserve">ENR-0316</t>
  </si>
  <si>
    <t xml:space="preserve">ENR-0317</t>
  </si>
  <si>
    <t xml:space="preserve">ENR-0318</t>
  </si>
  <si>
    <t xml:space="preserve">ENR-0319</t>
  </si>
  <si>
    <t xml:space="preserve">ENR-0320</t>
  </si>
  <si>
    <t xml:space="preserve">ENR-0321</t>
  </si>
  <si>
    <t xml:space="preserve">ENR-0322</t>
  </si>
  <si>
    <t xml:space="preserve">ENR-0323</t>
  </si>
  <si>
    <t xml:space="preserve">ENR-0324</t>
  </si>
  <si>
    <t xml:space="preserve">ENR-0325</t>
  </si>
  <si>
    <t xml:space="preserve">ENR-0326</t>
  </si>
  <si>
    <t xml:space="preserve">ENR-0327</t>
  </si>
  <si>
    <t xml:space="preserve">ENR-0328</t>
  </si>
  <si>
    <t xml:space="preserve">ENR-0329</t>
  </si>
  <si>
    <t xml:space="preserve">ENR-0330</t>
  </si>
  <si>
    <t xml:space="preserve">ENR-0331</t>
  </si>
  <si>
    <t xml:space="preserve">ENR-0332</t>
  </si>
  <si>
    <t xml:space="preserve">ENR-0333</t>
  </si>
  <si>
    <t xml:space="preserve">ENR-0334</t>
  </si>
  <si>
    <t xml:space="preserve">ENR-0335</t>
  </si>
  <si>
    <t xml:space="preserve">ENR-0336</t>
  </si>
  <si>
    <t xml:space="preserve">ENR-0337</t>
  </si>
  <si>
    <t xml:space="preserve">ENR-0338</t>
  </si>
  <si>
    <t xml:space="preserve">ENR-0339</t>
  </si>
  <si>
    <t xml:space="preserve">ENR-0340</t>
  </si>
  <si>
    <t xml:space="preserve">ENR-0341</t>
  </si>
  <si>
    <t xml:space="preserve">ENR-0342</t>
  </si>
  <si>
    <t xml:space="preserve">ENR-0343</t>
  </si>
  <si>
    <t xml:space="preserve">ENR-0344</t>
  </si>
  <si>
    <t xml:space="preserve">ENR-0345</t>
  </si>
  <si>
    <t xml:space="preserve">ENR-0346</t>
  </si>
  <si>
    <t xml:space="preserve">ENR-0347</t>
  </si>
  <si>
    <t xml:space="preserve">ENR-0348</t>
  </si>
  <si>
    <t xml:space="preserve">ENR-0349</t>
  </si>
  <si>
    <t xml:space="preserve">ENR-0350</t>
  </si>
  <si>
    <t xml:space="preserve">ENR-0351</t>
  </si>
  <si>
    <t xml:space="preserve">ENR-0352</t>
  </si>
  <si>
    <t xml:space="preserve">ENR-0353</t>
  </si>
  <si>
    <t xml:space="preserve">ENR-0354</t>
  </si>
  <si>
    <t xml:space="preserve">ENR-0355</t>
  </si>
  <si>
    <t xml:space="preserve">ENR-0356</t>
  </si>
  <si>
    <t xml:space="preserve">ENR-0357</t>
  </si>
  <si>
    <t xml:space="preserve">ENR-0358</t>
  </si>
  <si>
    <t xml:space="preserve">ENR-0359</t>
  </si>
  <si>
    <t xml:space="preserve">ENR-0360</t>
  </si>
  <si>
    <t xml:space="preserve">ENR-0361</t>
  </si>
  <si>
    <t xml:space="preserve">ENR-0362</t>
  </si>
  <si>
    <t xml:space="preserve">ENR-0363</t>
  </si>
  <si>
    <t xml:space="preserve">ENR-0364</t>
  </si>
  <si>
    <t xml:space="preserve">ENR-0365</t>
  </si>
  <si>
    <t xml:space="preserve">ENR-0366</t>
  </si>
  <si>
    <t xml:space="preserve">ENR-0367</t>
  </si>
  <si>
    <t xml:space="preserve">ENR-0368</t>
  </si>
  <si>
    <t xml:space="preserve">ENR-0369</t>
  </si>
  <si>
    <t xml:space="preserve">ENR-0370</t>
  </si>
  <si>
    <t xml:space="preserve">ENR-0371</t>
  </si>
  <si>
    <t xml:space="preserve">ENR-0372</t>
  </si>
  <si>
    <t xml:space="preserve">ENR-0373</t>
  </si>
  <si>
    <t xml:space="preserve">ENR-0374</t>
  </si>
  <si>
    <t xml:space="preserve">ENR-0375</t>
  </si>
  <si>
    <t xml:space="preserve">ENR-0376</t>
  </si>
  <si>
    <t xml:space="preserve">ENR-0377</t>
  </si>
  <si>
    <t xml:space="preserve">ENR-0378</t>
  </si>
  <si>
    <t xml:space="preserve">ENR-0379</t>
  </si>
  <si>
    <t xml:space="preserve">ENR-0380</t>
  </si>
  <si>
    <t xml:space="preserve">ENR-0381</t>
  </si>
  <si>
    <t xml:space="preserve">ENR-0382</t>
  </si>
  <si>
    <t xml:space="preserve">ENR-0383</t>
  </si>
  <si>
    <t xml:space="preserve">ENR-0384</t>
  </si>
  <si>
    <t xml:space="preserve">ENR-0385</t>
  </si>
  <si>
    <t xml:space="preserve">ENR-0386</t>
  </si>
  <si>
    <t xml:space="preserve">ENR-0387</t>
  </si>
  <si>
    <t xml:space="preserve">ENR-0388</t>
  </si>
  <si>
    <t xml:space="preserve">ENR-0389</t>
  </si>
  <si>
    <t xml:space="preserve">ENR-0390</t>
  </si>
  <si>
    <t xml:space="preserve">ENR-0391</t>
  </si>
  <si>
    <t xml:space="preserve">ENR-0392</t>
  </si>
  <si>
    <t xml:space="preserve">ENR-0393</t>
  </si>
  <si>
    <t xml:space="preserve">ENR-0394</t>
  </si>
  <si>
    <t xml:space="preserve">ENR-0395</t>
  </si>
  <si>
    <t xml:space="preserve">ENR-0396</t>
  </si>
  <si>
    <t xml:space="preserve">ENR-0397</t>
  </si>
  <si>
    <t xml:space="preserve">ENR-0398</t>
  </si>
  <si>
    <t xml:space="preserve">ENR-0399</t>
  </si>
  <si>
    <t xml:space="preserve">ENR-0400</t>
  </si>
  <si>
    <t xml:space="preserve">ENR-0401</t>
  </si>
  <si>
    <t xml:space="preserve">ENR-0402</t>
  </si>
  <si>
    <t xml:space="preserve">ENR-0403</t>
  </si>
  <si>
    <t xml:space="preserve">ENR-0404</t>
  </si>
  <si>
    <t xml:space="preserve">ENR-0405</t>
  </si>
  <si>
    <t xml:space="preserve">ENR-0406</t>
  </si>
  <si>
    <t xml:space="preserve">ENR-0407</t>
  </si>
  <si>
    <t xml:space="preserve">ENR-0408</t>
  </si>
  <si>
    <t xml:space="preserve">ENR-0409</t>
  </si>
  <si>
    <t xml:space="preserve">ENR-0410</t>
  </si>
  <si>
    <t xml:space="preserve">ENR-0411</t>
  </si>
  <si>
    <t xml:space="preserve">ENR-0412</t>
  </si>
  <si>
    <t xml:space="preserve">ENR-0413</t>
  </si>
  <si>
    <t xml:space="preserve">ENR-0414</t>
  </si>
  <si>
    <t xml:space="preserve">ENR-0415</t>
  </si>
  <si>
    <t xml:space="preserve">ENR-0416</t>
  </si>
  <si>
    <t xml:space="preserve">ENR-0417</t>
  </si>
  <si>
    <t xml:space="preserve">ENR-0418</t>
  </si>
  <si>
    <t xml:space="preserve">ENR-0419</t>
  </si>
  <si>
    <t xml:space="preserve">ENR-0420</t>
  </si>
  <si>
    <t xml:space="preserve">ENR-0421</t>
  </si>
  <si>
    <t xml:space="preserve">ENR-0422</t>
  </si>
  <si>
    <t xml:space="preserve">ENR-0423</t>
  </si>
  <si>
    <t xml:space="preserve">ENR-0424</t>
  </si>
  <si>
    <t xml:space="preserve">ENR-0425</t>
  </si>
  <si>
    <t xml:space="preserve">ENR-0426</t>
  </si>
  <si>
    <t xml:space="preserve">ENR-0427</t>
  </si>
  <si>
    <t xml:space="preserve">ENR-0428</t>
  </si>
  <si>
    <t xml:space="preserve">ENR-0429</t>
  </si>
  <si>
    <t xml:space="preserve">ENR-0430</t>
  </si>
  <si>
    <t xml:space="preserve">ENR-0431</t>
  </si>
  <si>
    <t xml:space="preserve">ENR-0432</t>
  </si>
  <si>
    <t xml:space="preserve">ENR-0433</t>
  </si>
  <si>
    <t xml:space="preserve">ENR-0434</t>
  </si>
  <si>
    <t xml:space="preserve">ENR-0435</t>
  </si>
  <si>
    <t xml:space="preserve">ENR-0436</t>
  </si>
  <si>
    <t xml:space="preserve">ENR-0437</t>
  </si>
  <si>
    <t xml:space="preserve">ENR-0438</t>
  </si>
  <si>
    <t xml:space="preserve">ENR-0439</t>
  </si>
  <si>
    <t xml:space="preserve">ENR-0440</t>
  </si>
  <si>
    <t xml:space="preserve">ENR-0441</t>
  </si>
  <si>
    <t xml:space="preserve">ENR-0442</t>
  </si>
  <si>
    <t xml:space="preserve">ENR-0443</t>
  </si>
  <si>
    <t xml:space="preserve">ENR-0444</t>
  </si>
  <si>
    <t xml:space="preserve">ENR-0445</t>
  </si>
  <si>
    <t xml:space="preserve">ENR-0446</t>
  </si>
  <si>
    <t xml:space="preserve">ENR-0447</t>
  </si>
  <si>
    <t xml:space="preserve">ENR-0448</t>
  </si>
  <si>
    <t xml:space="preserve">ENR-0449</t>
  </si>
  <si>
    <t xml:space="preserve">ENR-0450</t>
  </si>
  <si>
    <t xml:space="preserve">ENR-0451</t>
  </si>
  <si>
    <t xml:space="preserve">ENR-0452</t>
  </si>
  <si>
    <t xml:space="preserve">ENR-0453</t>
  </si>
  <si>
    <t xml:space="preserve">ENR-0454</t>
  </si>
  <si>
    <t xml:space="preserve">ENR-0455</t>
  </si>
  <si>
    <t xml:space="preserve">ENR-0456</t>
  </si>
  <si>
    <t xml:space="preserve">ENR-0457</t>
  </si>
  <si>
    <t xml:space="preserve">ENR-0458</t>
  </si>
  <si>
    <t xml:space="preserve">ENR-0459</t>
  </si>
  <si>
    <t xml:space="preserve">ENR-0460</t>
  </si>
  <si>
    <t xml:space="preserve">ENR-0461</t>
  </si>
  <si>
    <t xml:space="preserve">ENR-0462</t>
  </si>
  <si>
    <t xml:space="preserve">ENR-0463</t>
  </si>
  <si>
    <t xml:space="preserve">ENR-0464</t>
  </si>
  <si>
    <t xml:space="preserve">ENR-0465</t>
  </si>
  <si>
    <t xml:space="preserve">ENR-0466</t>
  </si>
  <si>
    <t xml:space="preserve">ENR-0467</t>
  </si>
  <si>
    <t xml:space="preserve">ENR-0468</t>
  </si>
  <si>
    <t xml:space="preserve">ENR-0469</t>
  </si>
  <si>
    <t xml:space="preserve">ENR-0470</t>
  </si>
  <si>
    <t xml:space="preserve">ENR-0471</t>
  </si>
  <si>
    <t xml:space="preserve">ENR-0472</t>
  </si>
  <si>
    <t xml:space="preserve">ENR-0473</t>
  </si>
  <si>
    <t xml:space="preserve">ENR-0474</t>
  </si>
  <si>
    <t xml:space="preserve">ENR-0475</t>
  </si>
  <si>
    <t xml:space="preserve">ENR-0476</t>
  </si>
  <si>
    <t xml:space="preserve">ENR-0477</t>
  </si>
  <si>
    <t xml:space="preserve">ENR-0478</t>
  </si>
  <si>
    <t xml:space="preserve">ENR-0479</t>
  </si>
  <si>
    <t xml:space="preserve">ENR-0480</t>
  </si>
  <si>
    <t xml:space="preserve">ENR-0481</t>
  </si>
  <si>
    <t xml:space="preserve">ENR-0482</t>
  </si>
  <si>
    <t xml:space="preserve">ENR-0483</t>
  </si>
  <si>
    <t xml:space="preserve">ENR-0484</t>
  </si>
  <si>
    <t xml:space="preserve">ENR-0485</t>
  </si>
  <si>
    <t xml:space="preserve">ENR-0486</t>
  </si>
  <si>
    <t xml:space="preserve">ENR-0487</t>
  </si>
  <si>
    <t xml:space="preserve">ENR-0488</t>
  </si>
  <si>
    <t xml:space="preserve">ENR-0489</t>
  </si>
  <si>
    <t xml:space="preserve">ENR-0490</t>
  </si>
  <si>
    <t xml:space="preserve">ENR-0491</t>
  </si>
  <si>
    <t xml:space="preserve">ENR-0492</t>
  </si>
  <si>
    <t xml:space="preserve">ENR-0493</t>
  </si>
  <si>
    <t xml:space="preserve">ENR-0494</t>
  </si>
  <si>
    <t xml:space="preserve">ENR-0495</t>
  </si>
  <si>
    <t xml:space="preserve">ENR-0496</t>
  </si>
  <si>
    <t xml:space="preserve">ENR-0497</t>
  </si>
  <si>
    <t xml:space="preserve">ENR-0498</t>
  </si>
  <si>
    <t xml:space="preserve">ENR-0499</t>
  </si>
  <si>
    <t xml:space="preserve">ENR-0500</t>
  </si>
  <si>
    <t xml:space="preserve">ENR-0501</t>
  </si>
  <si>
    <t xml:space="preserve">ENR-0502</t>
  </si>
  <si>
    <t xml:space="preserve">ENR-0503</t>
  </si>
  <si>
    <t xml:space="preserve">ENR-0504</t>
  </si>
  <si>
    <t xml:space="preserve">ENR-0505</t>
  </si>
  <si>
    <t xml:space="preserve">ENR-0506</t>
  </si>
  <si>
    <t xml:space="preserve">ENR-0507</t>
  </si>
  <si>
    <t xml:space="preserve">ENR-0508</t>
  </si>
  <si>
    <t xml:space="preserve">ENR-0509</t>
  </si>
  <si>
    <t xml:space="preserve">ENR-0510</t>
  </si>
  <si>
    <t xml:space="preserve">ENR-0511</t>
  </si>
  <si>
    <t xml:space="preserve">ENR-0512</t>
  </si>
  <si>
    <t xml:space="preserve">ENR-0513</t>
  </si>
  <si>
    <t xml:space="preserve">ENR-0514</t>
  </si>
  <si>
    <t xml:space="preserve">ENR-0515</t>
  </si>
  <si>
    <t xml:space="preserve">ENR-0516</t>
  </si>
  <si>
    <t xml:space="preserve">ENR-0517</t>
  </si>
  <si>
    <t xml:space="preserve">ENR-0518</t>
  </si>
  <si>
    <t xml:space="preserve">ENR-0519</t>
  </si>
  <si>
    <t xml:space="preserve">ENR-0520</t>
  </si>
  <si>
    <t xml:space="preserve">ENR-0521</t>
  </si>
  <si>
    <t xml:space="preserve">ENR-0522</t>
  </si>
  <si>
    <t xml:space="preserve">ENR-0523</t>
  </si>
  <si>
    <t xml:space="preserve">ENR-0524</t>
  </si>
  <si>
    <t xml:space="preserve">ENR-0525</t>
  </si>
  <si>
    <t xml:space="preserve">ENR-0526</t>
  </si>
  <si>
    <t xml:space="preserve">ENR-0527</t>
  </si>
  <si>
    <t xml:space="preserve">ENR-0528</t>
  </si>
  <si>
    <t xml:space="preserve">ENR-0529</t>
  </si>
  <si>
    <t xml:space="preserve">ENR-0530</t>
  </si>
  <si>
    <t xml:space="preserve">ENR-0531</t>
  </si>
  <si>
    <t xml:space="preserve">ENR-0532</t>
  </si>
  <si>
    <t xml:space="preserve">ENR-0533</t>
  </si>
  <si>
    <t xml:space="preserve">ENR-0534</t>
  </si>
  <si>
    <t xml:space="preserve">ENR-0535</t>
  </si>
  <si>
    <t xml:space="preserve">ENR-0536</t>
  </si>
  <si>
    <t xml:space="preserve">ENR-0537</t>
  </si>
  <si>
    <t xml:space="preserve">ENR-0538</t>
  </si>
  <si>
    <t xml:space="preserve">ENR-0539</t>
  </si>
  <si>
    <t xml:space="preserve">ENR-0540</t>
  </si>
  <si>
    <t xml:space="preserve">ENR-0541</t>
  </si>
  <si>
    <t xml:space="preserve">ENR-0542</t>
  </si>
  <si>
    <t xml:space="preserve">ENR-0543</t>
  </si>
  <si>
    <t xml:space="preserve">ENR-0544</t>
  </si>
  <si>
    <t xml:space="preserve">ENR-0545</t>
  </si>
  <si>
    <t xml:space="preserve">ENR-0546</t>
  </si>
  <si>
    <t xml:space="preserve">ENR-0547</t>
  </si>
  <si>
    <t xml:space="preserve">ENR-0548</t>
  </si>
  <si>
    <t xml:space="preserve">ENR-0549</t>
  </si>
  <si>
    <t xml:space="preserve">ENR-0550</t>
  </si>
  <si>
    <t xml:space="preserve">ENR-0551</t>
  </si>
  <si>
    <t xml:space="preserve">ENR-0552</t>
  </si>
  <si>
    <t xml:space="preserve">ENR-0553</t>
  </si>
  <si>
    <t xml:space="preserve">ENR-0554</t>
  </si>
  <si>
    <t xml:space="preserve">ENR-0555</t>
  </si>
  <si>
    <t xml:space="preserve">ENR-0556</t>
  </si>
  <si>
    <t xml:space="preserve">ENR-0557</t>
  </si>
  <si>
    <t xml:space="preserve">ENR-0558</t>
  </si>
  <si>
    <t xml:space="preserve">ENR-0559</t>
  </si>
  <si>
    <t xml:space="preserve">ENR-0560</t>
  </si>
  <si>
    <t xml:space="preserve">ENR-0561</t>
  </si>
  <si>
    <t xml:space="preserve">ENR-0562</t>
  </si>
  <si>
    <t xml:space="preserve">ENR-0563</t>
  </si>
  <si>
    <t xml:space="preserve">ENR-0564</t>
  </si>
  <si>
    <t xml:space="preserve">ENR-0565</t>
  </si>
  <si>
    <t xml:space="preserve">ENR-0566</t>
  </si>
  <si>
    <t xml:space="preserve">ENR-0567</t>
  </si>
  <si>
    <t xml:space="preserve">ENR-0568</t>
  </si>
  <si>
    <t xml:space="preserve">ENR-0569</t>
  </si>
  <si>
    <t xml:space="preserve">ENR-0570</t>
  </si>
  <si>
    <t xml:space="preserve">ENR-0571</t>
  </si>
  <si>
    <t xml:space="preserve">ENR-0572</t>
  </si>
  <si>
    <t xml:space="preserve">ENR-0573</t>
  </si>
  <si>
    <t xml:space="preserve">ENR-0574</t>
  </si>
  <si>
    <t xml:space="preserve">ENR-0575</t>
  </si>
  <si>
    <t xml:space="preserve">ENR-0576</t>
  </si>
  <si>
    <t xml:space="preserve">ENR-0577</t>
  </si>
  <si>
    <t xml:space="preserve">ENR-0578</t>
  </si>
  <si>
    <t xml:space="preserve">ENR-0579</t>
  </si>
  <si>
    <t xml:space="preserve">ENR-0580</t>
  </si>
  <si>
    <t xml:space="preserve">ENR-0581</t>
  </si>
  <si>
    <t xml:space="preserve">ENR-0582</t>
  </si>
  <si>
    <t xml:space="preserve">ENR-0583</t>
  </si>
  <si>
    <t xml:space="preserve">ENR-0584</t>
  </si>
  <si>
    <t xml:space="preserve">ENR-0585</t>
  </si>
  <si>
    <t xml:space="preserve">ENR-0586</t>
  </si>
  <si>
    <t xml:space="preserve">ENR-0587</t>
  </si>
  <si>
    <t xml:space="preserve">ENR-0588</t>
  </si>
  <si>
    <t xml:space="preserve">ENR-0589</t>
  </si>
  <si>
    <t xml:space="preserve">ENR-0590</t>
  </si>
  <si>
    <t xml:space="preserve">ENR-0591</t>
  </si>
  <si>
    <t xml:space="preserve">ENR-0592</t>
  </si>
  <si>
    <t xml:space="preserve">ENR-0593</t>
  </si>
  <si>
    <t xml:space="preserve">ENR-0594</t>
  </si>
  <si>
    <t xml:space="preserve">ENR-0595</t>
  </si>
  <si>
    <t xml:space="preserve">ENR-0596</t>
  </si>
  <si>
    <t xml:space="preserve">ENR-0597</t>
  </si>
  <si>
    <t xml:space="preserve">ENR-0598</t>
  </si>
  <si>
    <t xml:space="preserve">ENR-0599</t>
  </si>
  <si>
    <t xml:space="preserve">ENR-0600</t>
  </si>
  <si>
    <t xml:space="preserve">ENR-0601</t>
  </si>
  <si>
    <t xml:space="preserve">ENR-0602</t>
  </si>
  <si>
    <t xml:space="preserve">ENR-0603</t>
  </si>
  <si>
    <t xml:space="preserve">ENR-0604</t>
  </si>
  <si>
    <t xml:space="preserve">ENR-0605</t>
  </si>
  <si>
    <t xml:space="preserve">ENR-0606</t>
  </si>
  <si>
    <t xml:space="preserve">ENR-0607</t>
  </si>
  <si>
    <t xml:space="preserve">ENR-0608</t>
  </si>
  <si>
    <t xml:space="preserve">ENR-0609</t>
  </si>
  <si>
    <t xml:space="preserve">ENR-0610</t>
  </si>
  <si>
    <t xml:space="preserve">ENR-0611</t>
  </si>
  <si>
    <t xml:space="preserve">ENR-0612</t>
  </si>
  <si>
    <t xml:space="preserve">ENR-0613</t>
  </si>
  <si>
    <t xml:space="preserve">ENR-0614</t>
  </si>
  <si>
    <t xml:space="preserve">ENR-0615</t>
  </si>
  <si>
    <t xml:space="preserve">ENR-0616</t>
  </si>
  <si>
    <t xml:space="preserve">ENR-0617</t>
  </si>
  <si>
    <t xml:space="preserve">ENR-0618</t>
  </si>
  <si>
    <t xml:space="preserve">ENR-0619</t>
  </si>
  <si>
    <t xml:space="preserve">ENR-0620</t>
  </si>
  <si>
    <t xml:space="preserve">ENR-0621</t>
  </si>
  <si>
    <t xml:space="preserve">ENR-0622</t>
  </si>
  <si>
    <t xml:space="preserve">ENR-0623</t>
  </si>
  <si>
    <t xml:space="preserve">ENR-0624</t>
  </si>
  <si>
    <t xml:space="preserve">ENR-0625</t>
  </si>
  <si>
    <t xml:space="preserve">ENR-0626</t>
  </si>
  <si>
    <t xml:space="preserve">ENR-0627</t>
  </si>
  <si>
    <t xml:space="preserve">ENR-0628</t>
  </si>
  <si>
    <t xml:space="preserve">ENR-0629</t>
  </si>
  <si>
    <t xml:space="preserve">ENR-0630</t>
  </si>
  <si>
    <t xml:space="preserve">ENR-0631</t>
  </si>
  <si>
    <t xml:space="preserve">ENR-0632</t>
  </si>
  <si>
    <t xml:space="preserve">ENR-0633</t>
  </si>
  <si>
    <t xml:space="preserve">ENR-0634</t>
  </si>
  <si>
    <t xml:space="preserve">ENR-0635</t>
  </si>
  <si>
    <t xml:space="preserve">ENR-0636</t>
  </si>
  <si>
    <t xml:space="preserve">ENR-0637</t>
  </si>
  <si>
    <t xml:space="preserve">ENR-0638</t>
  </si>
  <si>
    <t xml:space="preserve">ENR-0639</t>
  </si>
  <si>
    <t xml:space="preserve">ENR-0640</t>
  </si>
  <si>
    <t xml:space="preserve">ENR-0641</t>
  </si>
  <si>
    <t xml:space="preserve">ENR-0642</t>
  </si>
  <si>
    <t xml:space="preserve">ENR-0643</t>
  </si>
  <si>
    <t xml:space="preserve">ENR-0644</t>
  </si>
  <si>
    <t xml:space="preserve">ENR-0645</t>
  </si>
  <si>
    <t xml:space="preserve">ENR-0646</t>
  </si>
  <si>
    <t xml:space="preserve">ENR-0647</t>
  </si>
  <si>
    <t xml:space="preserve">ENR-0648</t>
  </si>
  <si>
    <t xml:space="preserve">ENR-0649</t>
  </si>
  <si>
    <t xml:space="preserve">ENR-0650</t>
  </si>
  <si>
    <t xml:space="preserve">ENR-0651</t>
  </si>
  <si>
    <t xml:space="preserve">ENR-0652</t>
  </si>
  <si>
    <t xml:space="preserve">ENR-0653</t>
  </si>
  <si>
    <t xml:space="preserve">ENR-0654</t>
  </si>
  <si>
    <t xml:space="preserve">ENR-0655</t>
  </si>
  <si>
    <t xml:space="preserve">ENR-0656</t>
  </si>
  <si>
    <t xml:space="preserve">ENR-0657</t>
  </si>
  <si>
    <t xml:space="preserve">ENR-0658</t>
  </si>
  <si>
    <t xml:space="preserve">ENR-0659</t>
  </si>
  <si>
    <t xml:space="preserve">ENR-0660</t>
  </si>
  <si>
    <t xml:space="preserve">ENR-0661</t>
  </si>
  <si>
    <t xml:space="preserve">ENR-0662</t>
  </si>
  <si>
    <t xml:space="preserve">ENR-0663</t>
  </si>
  <si>
    <t xml:space="preserve">ENR-0664</t>
  </si>
  <si>
    <t xml:space="preserve">ENR-0665</t>
  </si>
  <si>
    <t xml:space="preserve">ENR-0666</t>
  </si>
  <si>
    <t xml:space="preserve">ENR-0667</t>
  </si>
  <si>
    <t xml:space="preserve">ENR-0668</t>
  </si>
  <si>
    <t xml:space="preserve">ENR-0669</t>
  </si>
  <si>
    <t xml:space="preserve">ENR-0670</t>
  </si>
  <si>
    <t xml:space="preserve">ENR-0671</t>
  </si>
  <si>
    <t xml:space="preserve">ENR-0672</t>
  </si>
  <si>
    <t xml:space="preserve">ENR-0673</t>
  </si>
  <si>
    <t xml:space="preserve">ENR-0674</t>
  </si>
  <si>
    <t xml:space="preserve">ENR-0675</t>
  </si>
  <si>
    <t xml:space="preserve">ENR-0676</t>
  </si>
  <si>
    <t xml:space="preserve">ENR-0677</t>
  </si>
  <si>
    <t xml:space="preserve">ENR-0678</t>
  </si>
  <si>
    <t xml:space="preserve">ENR-0679</t>
  </si>
  <si>
    <t xml:space="preserve">ENR-0680</t>
  </si>
  <si>
    <t xml:space="preserve">ENR-0681</t>
  </si>
  <si>
    <t xml:space="preserve">ENR-0682</t>
  </si>
  <si>
    <t xml:space="preserve">ENR-0683</t>
  </si>
  <si>
    <t xml:space="preserve">ENR-0684</t>
  </si>
  <si>
    <t xml:space="preserve">ENR-0685</t>
  </si>
  <si>
    <t xml:space="preserve">ENR-0686</t>
  </si>
  <si>
    <t xml:space="preserve">ENR-0687</t>
  </si>
  <si>
    <t xml:space="preserve">ENR-0688</t>
  </si>
  <si>
    <t xml:space="preserve">ENR-0689</t>
  </si>
  <si>
    <t xml:space="preserve">ENR-0690</t>
  </si>
  <si>
    <t xml:space="preserve">ENR-0691</t>
  </si>
  <si>
    <t xml:space="preserve">ENR-0692</t>
  </si>
  <si>
    <t xml:space="preserve">ENR-0693</t>
  </si>
  <si>
    <t xml:space="preserve">ENR-0694</t>
  </si>
  <si>
    <t xml:space="preserve">ENR-0695</t>
  </si>
  <si>
    <t xml:space="preserve">ENR-0696</t>
  </si>
  <si>
    <t xml:space="preserve">ENR-0697</t>
  </si>
  <si>
    <t xml:space="preserve">ENR-0698</t>
  </si>
  <si>
    <t xml:space="preserve">ENR-0699</t>
  </si>
  <si>
    <t xml:space="preserve">ENR-0700</t>
  </si>
  <si>
    <t xml:space="preserve">ENR-0701</t>
  </si>
  <si>
    <t xml:space="preserve">ENR-0702</t>
  </si>
  <si>
    <t xml:space="preserve">ENR-0703</t>
  </si>
  <si>
    <t xml:space="preserve">ENR-0704</t>
  </si>
  <si>
    <t xml:space="preserve">ENR-0705</t>
  </si>
  <si>
    <t xml:space="preserve">ENR-0706</t>
  </si>
  <si>
    <t xml:space="preserve">ENR-0707</t>
  </si>
  <si>
    <t xml:space="preserve">ENR-0708</t>
  </si>
  <si>
    <t xml:space="preserve">ENR-0709</t>
  </si>
  <si>
    <t xml:space="preserve">ENR-0710</t>
  </si>
  <si>
    <t xml:space="preserve">ENR-0711</t>
  </si>
  <si>
    <t xml:space="preserve">ENR-0712</t>
  </si>
  <si>
    <t xml:space="preserve">ENR-0713</t>
  </si>
  <si>
    <t xml:space="preserve">ENR-0714</t>
  </si>
  <si>
    <t xml:space="preserve">ATTRITION RISK MODEL  —  Predictive scoring per employee</t>
  </si>
  <si>
    <t xml:space="preserve">   Total = Tenure + Productivity + Comp-Ratio + Other factors  •  High ≥65, Medium 35-64, Low &lt;35</t>
  </si>
  <si>
    <t xml:space="preserve">Manager</t>
  </si>
  <si>
    <t xml:space="preserve">Tenure (days)</t>
  </si>
  <si>
    <t xml:space="preserve">Productivity</t>
  </si>
  <si>
    <t xml:space="preserve">Comp Ratio</t>
  </si>
  <si>
    <t xml:space="preserve">Other</t>
  </si>
  <si>
    <t xml:space="preserve">Total Score</t>
  </si>
  <si>
    <t xml:space="preserve">Risk Level</t>
  </si>
  <si>
    <t xml:space="preserve">Below Market Comp</t>
  </si>
  <si>
    <t xml:space="preserve">Other Factors</t>
  </si>
  <si>
    <t xml:space="preserve">Low Productivity</t>
  </si>
  <si>
    <t xml:space="preserve">RESOURCE MANAGEMENT - MONTHLY ALLOCATION</t>
  </si>
  <si>
    <t xml:space="preserve">Updated each month. Feeds live allocation figures and intern LWD tracking into the dashboard.</t>
  </si>
  <si>
    <t xml:space="preserve">Month</t>
  </si>
  <si>
    <t xml:space="preserve">Allocation (%)</t>
  </si>
  <si>
    <t xml:space="preserve">LWD / Intern End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</si>
  <si>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</si>
  <si>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</si>
  <si>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</si>
  <si>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</si>
  <si>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</si>
  <si>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FINANCE - CTC BREAKDOWN (INR &amp; USD)</t>
  </si>
  <si>
    <t xml:space="preserve">Annual &amp; monthly CTC for every resource. USD values are calculated using the conversion rate in Settings (B8).</t>
  </si>
  <si>
    <t xml:space="preserve">Geography</t>
  </si>
  <si>
    <t xml:space="preserve">Annual CTC (INR)</t>
  </si>
  <si>
    <t xml:space="preserve">Monthly CTC (INR)</t>
  </si>
  <si>
    <t xml:space="preserve">Annual CTC (USD)</t>
  </si>
  <si>
    <t xml:space="preserve">Monthly CTC (USD)</t>
  </si>
  <si>
    <t xml:space="preserve">PRODUCTIVITY - PER RESOURCE</t>
  </si>
  <si>
    <t xml:space="preserve">Productivity average per resource (1-5 scale). Dashboard rolls this up to a summary metric only.</t>
  </si>
  <si>
    <t xml:space="preserve">Productivity Score (1-5)</t>
  </si>
  <si>
    <t xml:space="preserve">On-Time Delivery %</t>
  </si>
  <si>
    <t xml:space="preserve">RISK REPORT - HR ALERTS</t>
  </si>
  <si>
    <t xml:space="preserve">Maintained by HR. Real-time updates here are reflected directly on the Dashboard Risk panel.</t>
  </si>
  <si>
    <t xml:space="preserve">Employee Name</t>
  </si>
  <si>
    <t xml:space="preserve">Risk Category</t>
  </si>
  <si>
    <t xml:space="preserve">Raised On</t>
  </si>
  <si>
    <t xml:space="preserve">Notes / Action</t>
  </si>
  <si>
    <t xml:space="preserve">RSK-001</t>
  </si>
  <si>
    <t xml:space="preserve">Compliance Risk</t>
  </si>
  <si>
    <t xml:space="preserve">Indicated interest in external opportunities</t>
  </si>
  <si>
    <t xml:space="preserve">Visa renewal in progress</t>
  </si>
  <si>
    <t xml:space="preserve">RSK-003</t>
  </si>
  <si>
    <t xml:space="preserve">Pending compliance training completion</t>
  </si>
  <si>
    <t xml:space="preserve">RSK-005</t>
  </si>
  <si>
    <t xml:space="preserve">Reassignment under consideration</t>
  </si>
  <si>
    <t xml:space="preserve">RSK-007</t>
  </si>
  <si>
    <t xml:space="preserve">High workload reported in last 1:1</t>
  </si>
  <si>
    <t xml:space="preserve">RSK-011</t>
  </si>
  <si>
    <t xml:space="preserve">Skill upgrade recommended for upcoming project</t>
  </si>
  <si>
    <t xml:space="preserve">RSK-013</t>
  </si>
  <si>
    <t xml:space="preserve">RSK-015</t>
  </si>
  <si>
    <t xml:space="preserve">Performance below expectations for 2 consecutive cycles</t>
  </si>
  <si>
    <t xml:space="preserve">OFFBOARDED RESOURCES</t>
  </si>
  <si>
    <t xml:space="preserve">Source for quarterly attrition calculation. Quarter is auto-derived from LWD.</t>
  </si>
  <si>
    <t xml:space="preserve">Last Working Day</t>
  </si>
  <si>
    <t xml:space="preserve">Reason</t>
  </si>
  <si>
    <t xml:space="preserve">IND9001</t>
  </si>
  <si>
    <t xml:space="preserve">Sneha Nair</t>
  </si>
  <si>
    <t xml:space="preserve">Better Opportunity</t>
  </si>
  <si>
    <t xml:space="preserve">US9002</t>
  </si>
  <si>
    <t xml:space="preserve">Ashley Moore</t>
  </si>
  <si>
    <t xml:space="preserve">Higher Studies</t>
  </si>
  <si>
    <t xml:space="preserve">IND9003</t>
  </si>
  <si>
    <t xml:space="preserve">Vivaan Patel</t>
  </si>
  <si>
    <t xml:space="preserve">IND9004</t>
  </si>
  <si>
    <t xml:space="preserve">Divya Joshi</t>
  </si>
  <si>
    <t xml:space="preserve">Performance</t>
  </si>
  <si>
    <t xml:space="preserve">US9005</t>
  </si>
  <si>
    <t xml:space="preserve">Emily Hernandez</t>
  </si>
  <si>
    <t xml:space="preserve">Personal Reasons</t>
  </si>
  <si>
    <t xml:space="preserve">IND9006</t>
  </si>
  <si>
    <t xml:space="preserve">Aadhya Khan</t>
  </si>
  <si>
    <t xml:space="preserve">US9007</t>
  </si>
  <si>
    <t xml:space="preserve">Sarah Jackson</t>
  </si>
  <si>
    <t xml:space="preserve">IND9008</t>
  </si>
  <si>
    <t xml:space="preserve">Sara Sharma</t>
  </si>
  <si>
    <t xml:space="preserve">Relocation</t>
  </si>
  <si>
    <t xml:space="preserve">IND9009</t>
  </si>
  <si>
    <t xml:space="preserve">Ishaan Bose</t>
  </si>
  <si>
    <t xml:space="preserve">IND9010</t>
  </si>
  <si>
    <t xml:space="preserve">Diya Verma</t>
  </si>
  <si>
    <t xml:space="preserve">IND9011</t>
  </si>
  <si>
    <t xml:space="preserve">Vihaan Singh</t>
  </si>
  <si>
    <t xml:space="preserve">IND9012</t>
  </si>
  <si>
    <t xml:space="preserve">Neha Rao</t>
  </si>
  <si>
    <t xml:space="preserve">IND9013</t>
  </si>
  <si>
    <t xml:space="preserve">IND9014</t>
  </si>
  <si>
    <t xml:space="preserve">Saanvi Reddy</t>
  </si>
  <si>
    <t xml:space="preserve">IND9015</t>
  </si>
  <si>
    <t xml:space="preserve">Arjun Kumar</t>
  </si>
  <si>
    <t xml:space="preserve">IND9016</t>
  </si>
  <si>
    <t xml:space="preserve">Aditya Iyer</t>
  </si>
  <si>
    <t xml:space="preserve">Termination</t>
  </si>
  <si>
    <t xml:space="preserve">IND9017</t>
  </si>
  <si>
    <t xml:space="preserve">Aaradhya Nair</t>
  </si>
  <si>
    <t xml:space="preserve">IND9018</t>
  </si>
  <si>
    <t xml:space="preserve">Kiara Singh</t>
  </si>
  <si>
    <t xml:space="preserve">US9019</t>
  </si>
  <si>
    <t xml:space="preserve">Andrew Martinez</t>
  </si>
  <si>
    <t xml:space="preserve">IND9020</t>
  </si>
  <si>
    <t xml:space="preserve">Kiara Chatterjee</t>
  </si>
  <si>
    <t xml:space="preserve">Resignation</t>
  </si>
  <si>
    <t xml:space="preserve">US9021</t>
  </si>
  <si>
    <t xml:space="preserve">Christopher Martin</t>
  </si>
  <si>
    <t xml:space="preserve">US9022</t>
  </si>
  <si>
    <t xml:space="preserve">Andrew Jackson</t>
  </si>
  <si>
    <t xml:space="preserve">IND9023</t>
  </si>
  <si>
    <t xml:space="preserve">Riya Nair</t>
  </si>
  <si>
    <t xml:space="preserve">IND9024</t>
  </si>
  <si>
    <t xml:space="preserve">Sai Bose</t>
  </si>
  <si>
    <t xml:space="preserve">IND9025</t>
  </si>
  <si>
    <t xml:space="preserve">Ananya Khan</t>
  </si>
  <si>
    <t xml:space="preserve">US9026</t>
  </si>
  <si>
    <t xml:space="preserve">Emily Johnson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</si>
</sst>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%"/>
    <numFmt numFmtId="167" formatCode="General"/>
    <numFmt numFmtId="168" formatCode="\₹#,##0"/>
    <numFmt numFmtId="169" formatCode="\$#,##0"/>
    <numFmt numFmtId="170" formatCode="0.00"/>
    <numFmt numFmtId="171" formatCode="dd\-mmm\-yyyy"/>
    <numFmt numFmtId="172" formatCode="0&quot; days&quot;"/>
    <numFmt numFmtId="173" formatCode="\₹#,##0"/>
    <numFmt numFmtId="174" formatCode="\$#,##0"/>
    <numFmt numFmtId="175" formatCode="0.0"/>
    <numFmt numFmtId="176" formatCode="dd\-mmm"/>
    <numFmt numFmtId="177" formatCode="#,##0.00"/>
    <numFmt numFmtId="178" formatCode="0%"/>
    <numFmt numFmtId="179" formatCode="0"/>
  </numFmts>
  <fonts count="6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1"/>
      <color rgb="FF1E3A5F"/>
      <name val="Calibri"/>
      <family val="0"/>
      <charset val="1"/>
    </font>
    <font>
      <b val="true"/>
      <sz val="11"/>
      <color rgb="FFFF6B6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18"/>
      <color rgb="FF10B981"/>
      <name val="Calibri"/>
      <family val="0"/>
      <charset val="1"/>
    </font>
    <font>
      <b val="true"/>
      <sz val="18"/>
      <color rgb="FFF4A261"/>
      <name val="Calibri"/>
      <family val="0"/>
      <charset val="1"/>
    </font>
    <font>
      <b val="true"/>
      <sz val="18"/>
      <color rgb="FF3B82F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FF6B6B"/>
      <name val="Calibri"/>
      <family val="0"/>
      <charset val="1"/>
    </font>
    <font>
      <b val="true"/>
      <sz val="14"/>
      <color rgb="FF1E3A5F"/>
      <name val="Calibri"/>
      <family val="0"/>
      <charset val="1"/>
    </font>
    <font>
      <b val="true"/>
      <sz val="12"/>
      <color rgb="FF1E40AF"/>
      <name val="Calibri"/>
      <family val="0"/>
      <charset val="1"/>
    </font>
    <font>
      <b val="true"/>
      <sz val="12"/>
      <color rgb="FFB91C1C"/>
      <name val="Calibri"/>
      <family val="0"/>
      <charset val="1"/>
    </font>
    <font>
      <b val="true"/>
      <sz val="28"/>
      <color rgb="FFFF6B6B"/>
      <name val="Calibri"/>
      <family val="0"/>
      <charset val="1"/>
    </font>
    <font>
      <b val="true"/>
      <sz val="28"/>
      <color rgb="FFF4A261"/>
      <name val="Calibri"/>
      <family val="0"/>
      <charset val="1"/>
    </font>
    <font>
      <b val="true"/>
      <sz val="28"/>
      <color rgb="FF2EBFA5"/>
      <name val="Calibri"/>
      <family val="0"/>
      <charset val="1"/>
    </font>
    <font>
      <sz val="9"/>
      <color rgb="FF1F2937"/>
      <name val="Calibri"/>
      <family val="0"/>
      <charset val="1"/>
    </font>
    <font>
      <b val="true"/>
      <sz val="12"/>
      <color rgb="FFFF6B6B"/>
      <name val="Calibri"/>
      <family val="0"/>
      <charset val="1"/>
    </font>
    <font>
      <b val="true"/>
      <sz val="12"/>
      <color rgb="FFF4A261"/>
      <name val="Calibri"/>
      <family val="0"/>
      <charset val="1"/>
    </font>
    <font>
      <b val="true"/>
      <sz val="12"/>
      <color rgb="FF3B82F6"/>
      <name val="Calibri"/>
      <family val="0"/>
      <charset val="1"/>
    </font>
    <font>
      <b val="true"/>
      <sz val="12"/>
      <color rgb="FF10B98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E3A5F"/>
      <name val="Calibri"/>
      <family val="0"/>
      <charset val="1"/>
    </font>
    <font>
      <b val="true"/>
      <sz val="16"/>
      <color rgb="FF3B82F6"/>
      <name val="Calibri"/>
      <family val="0"/>
      <charset val="1"/>
    </font>
    <font>
      <b val="true"/>
      <sz val="16"/>
      <color rgb="FF6366F1"/>
      <name val="Calibri"/>
      <family val="0"/>
      <charset val="1"/>
    </font>
    <font>
      <b val="true"/>
      <sz val="16"/>
      <color rgb="FFB91C1C"/>
      <name val="Calibri"/>
      <family val="0"/>
      <charset val="1"/>
    </font>
    <font>
      <b val="true"/>
      <sz val="16"/>
      <color rgb="FF7C2D12"/>
      <name val="Calibri"/>
      <family val="0"/>
      <charset val="1"/>
    </font>
    <font>
      <b val="true"/>
      <sz val="16"/>
      <color rgb="FFEA580C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2"/>
      <color rgb="FF1F2937"/>
      <name val="Calibri"/>
      <family val="0"/>
      <charset val="1"/>
    </font>
    <font>
      <b val="true"/>
      <sz val="24"/>
      <color rgb="FF991B1B"/>
      <name val="Calibri"/>
      <family val="0"/>
      <charset val="1"/>
    </font>
    <font>
      <b val="true"/>
      <sz val="24"/>
      <color rgb="FFFF6B6B"/>
      <name val="Calibri"/>
      <family val="0"/>
      <charset val="1"/>
    </font>
    <font>
      <b val="true"/>
      <sz val="24"/>
      <color rgb="FFF4A261"/>
      <name val="Calibri"/>
      <family val="0"/>
      <charset val="1"/>
    </font>
    <font>
      <b val="true"/>
      <sz val="24"/>
      <color rgb="FF2EBFA5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b val="true"/>
      <sz val="11"/>
      <color rgb="FF3B82F6"/>
      <name val="Calibri"/>
      <family val="0"/>
      <charset val="1"/>
    </font>
    <font>
      <b val="true"/>
      <sz val="11"/>
      <color rgb="FF8B5CF6"/>
      <name val="Calibri"/>
      <family val="0"/>
      <charset val="1"/>
    </font>
    <font>
      <b val="true"/>
      <sz val="11"/>
      <color rgb="FF2EBFA5"/>
      <name val="Calibri"/>
      <family val="0"/>
      <charset val="1"/>
    </font>
    <font>
      <b val="true"/>
      <sz val="11"/>
      <color rgb="FFEC4899"/>
      <name val="Calibri"/>
      <family val="0"/>
      <charset val="1"/>
    </font>
    <font>
      <b val="true"/>
      <sz val="11"/>
      <color rgb="FFF4A261"/>
      <name val="Calibri"/>
      <family val="0"/>
      <charset val="1"/>
    </font>
    <font>
      <b val="true"/>
      <sz val="11"/>
      <color rgb="FF10B981"/>
      <name val="Calibri"/>
      <family val="0"/>
      <charset val="1"/>
    </font>
    <font>
      <b val="true"/>
      <sz val="11"/>
      <color rgb="FF6366F1"/>
      <name val="Calibri"/>
      <family val="0"/>
      <charset val="1"/>
    </font>
    <font>
      <b val="true"/>
      <sz val="11"/>
      <color rgb="FF14B8A6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E3A5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64748B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F172A"/>
        <bgColor rgb="FF1F2937"/>
      </patternFill>
    </fill>
    <fill>
      <patternFill patternType="solid">
        <fgColor rgb="FF1E3A5F"/>
        <bgColor rgb="FF1F2937"/>
      </patternFill>
    </fill>
    <fill>
      <patternFill patternType="solid">
        <fgColor rgb="FFF8FAFC"/>
        <bgColor rgb="FFF9F9F9"/>
      </patternFill>
    </fill>
    <fill>
      <patternFill patternType="solid">
        <fgColor rgb="FF2EBFA5"/>
        <bgColor rgb="FF14B8A6"/>
      </patternFill>
    </fill>
    <fill>
      <patternFill patternType="solid">
        <fgColor rgb="FF3B82F6"/>
        <bgColor rgb="FF6366F1"/>
      </patternFill>
    </fill>
    <fill>
      <patternFill patternType="solid">
        <fgColor rgb="FFFF6B6B"/>
        <bgColor rgb="FFEC4899"/>
      </patternFill>
    </fill>
    <fill>
      <patternFill patternType="solid">
        <fgColor rgb="FFF4A261"/>
        <bgColor rgb="FFFF6B6B"/>
      </patternFill>
    </fill>
    <fill>
      <patternFill patternType="solid">
        <fgColor rgb="FFEF4444"/>
        <bgColor rgb="FFEA580C"/>
      </patternFill>
    </fill>
    <fill>
      <patternFill patternType="solid">
        <fgColor rgb="FF64748B"/>
        <bgColor rgb="FF6B7280"/>
      </patternFill>
    </fill>
    <fill>
      <patternFill patternType="solid">
        <fgColor rgb="FF1E40AF"/>
        <bgColor rgb="FF1E3A5F"/>
      </patternFill>
    </fill>
    <fill>
      <patternFill patternType="solid">
        <fgColor rgb="FFB91C1C"/>
        <bgColor rgb="FF991B1B"/>
      </patternFill>
    </fill>
    <fill>
      <patternFill patternType="solid">
        <fgColor rgb="FFFFFFFF"/>
        <bgColor rgb="FFF8FAFC"/>
      </patternFill>
    </fill>
    <fill>
      <patternFill patternType="solid">
        <fgColor rgb="FF6366F1"/>
        <bgColor rgb="FF8B5CF6"/>
      </patternFill>
    </fill>
    <fill>
      <patternFill patternType="solid">
        <fgColor rgb="FF7C2D12"/>
        <bgColor rgb="FF92400E"/>
      </patternFill>
    </fill>
    <fill>
      <patternFill patternType="solid">
        <fgColor rgb="FFEA580C"/>
        <bgColor rgb="FFEF4444"/>
      </patternFill>
    </fill>
    <fill>
      <patternFill patternType="solid">
        <fgColor rgb="FF94A3B8"/>
        <bgColor rgb="FF878787"/>
      </patternFill>
    </fill>
    <fill>
      <patternFill patternType="solid">
        <fgColor rgb="FF8B5CF6"/>
        <bgColor rgb="FF6366F1"/>
      </patternFill>
    </fill>
    <fill>
      <patternFill patternType="solid">
        <fgColor rgb="FF991B1B"/>
        <bgColor rgb="FFB91C1C"/>
      </patternFill>
    </fill>
    <fill>
      <patternFill patternType="solid">
        <fgColor rgb="FFEC4899"/>
        <bgColor rgb="FFEF4444"/>
      </patternFill>
    </fill>
    <fill>
      <patternFill patternType="solid">
        <fgColor rgb="FF10B981"/>
        <bgColor rgb="FF14B8A6"/>
      </patternFill>
    </fill>
    <fill>
      <patternFill patternType="solid">
        <fgColor rgb="FF14B8A6"/>
        <bgColor rgb="FF10B981"/>
      </patternFill>
    </fill>
    <fill>
      <patternFill patternType="solid">
        <fgColor rgb="FFFFF9C4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 diagonalUp="false" diagonalDown="false">
      <left style="thin">
        <color rgb="FFFF6B6B"/>
      </left>
      <right style="thin">
        <color rgb="FFFF6B6B"/>
      </right>
      <top style="thin">
        <color rgb="FFFF6B6B"/>
      </top>
      <bottom style="thin">
        <color rgb="FFFF6B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58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4">
    <dxf>
      <font>
        <name val="Calibri"/>
        <charset val="1"/>
        <family val="0"/>
        <b val="1"/>
        <color rgb="FFFFFFFF"/>
        <sz val="9"/>
      </font>
      <fill>
        <patternFill>
          <bgColor rgb="FFFF6B6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F4A261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2EBFA5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991B1B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A261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FF6B6B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F4A261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FF6B6B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F4A261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2EBFA5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3B82F6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94A3B8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8B5CF6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991B1B"/>
        </patternFill>
      </fill>
    </dxf>
    <dxf>
      <fill>
        <patternFill patternType="solid">
          <fgColor rgb="FF20BA7A"/>
          <bgColor rgb="FF000000"/>
        </patternFill>
      </fill>
    </dxf>
    <dxf>
      <fill>
        <patternFill patternType="solid">
          <fgColor rgb="FF22BA7A"/>
          <bgColor rgb="FF000000"/>
        </patternFill>
      </fill>
    </dxf>
    <dxf>
      <fill>
        <patternFill patternType="solid">
          <fgColor rgb="FF24BA79"/>
          <bgColor rgb="FF000000"/>
        </patternFill>
      </fill>
    </dxf>
    <dxf>
      <fill>
        <patternFill patternType="solid">
          <fgColor rgb="FF26BA78"/>
          <bgColor rgb="FF000000"/>
        </patternFill>
      </fill>
    </dxf>
    <dxf>
      <fill>
        <patternFill patternType="solid">
          <fgColor rgb="FF28BA77"/>
          <bgColor rgb="FF000000"/>
        </patternFill>
      </fill>
    </dxf>
    <dxf>
      <fill>
        <patternFill patternType="solid">
          <fgColor rgb="FF29BA77"/>
          <bgColor rgb="FF000000"/>
        </patternFill>
      </fill>
    </dxf>
    <dxf>
      <fill>
        <patternFill patternType="solid">
          <fgColor rgb="FF2ABA76"/>
          <bgColor rgb="FF000000"/>
        </patternFill>
      </fill>
    </dxf>
    <dxf>
      <fill>
        <patternFill patternType="solid">
          <fgColor rgb="FF38BB71"/>
          <bgColor rgb="FF000000"/>
        </patternFill>
      </fill>
    </dxf>
    <dxf>
      <fill>
        <patternFill patternType="solid">
          <fgColor rgb="FF3ABB70"/>
          <bgColor rgb="FF000000"/>
        </patternFill>
      </fill>
    </dxf>
    <dxf>
      <fill>
        <patternFill patternType="solid">
          <fgColor rgb="FF3EBB6E"/>
          <bgColor rgb="FF000000"/>
        </patternFill>
      </fill>
    </dxf>
    <dxf>
      <fill>
        <patternFill patternType="solid">
          <fgColor rgb="FF42BB6D"/>
          <bgColor rgb="FF000000"/>
        </patternFill>
      </fill>
    </dxf>
    <dxf>
      <fill>
        <patternFill patternType="solid">
          <fgColor rgb="FF43BB6D"/>
          <bgColor rgb="FF000000"/>
        </patternFill>
      </fill>
    </dxf>
    <dxf>
      <fill>
        <patternFill patternType="solid">
          <fgColor rgb="FF45BB6C"/>
          <bgColor rgb="FF000000"/>
        </patternFill>
      </fill>
    </dxf>
    <dxf>
      <fill>
        <patternFill patternType="solid">
          <fgColor rgb="FF48BB6B"/>
          <bgColor rgb="FF000000"/>
        </patternFill>
      </fill>
    </dxf>
    <dxf>
      <fill>
        <patternFill patternType="solid">
          <fgColor rgb="FF49BB6A"/>
          <bgColor rgb="FF000000"/>
        </patternFill>
      </fill>
    </dxf>
    <dxf>
      <fill>
        <patternFill patternType="solid">
          <fgColor rgb="FF4ABB6A"/>
          <bgColor rgb="FF000000"/>
        </patternFill>
      </fill>
    </dxf>
    <dxf>
      <fill>
        <patternFill patternType="solid">
          <fgColor rgb="FF4BBB69"/>
          <bgColor rgb="FF000000"/>
        </patternFill>
      </fill>
    </dxf>
    <dxf>
      <fill>
        <patternFill patternType="solid">
          <fgColor rgb="FF4EBB68"/>
          <bgColor rgb="FF000000"/>
        </patternFill>
      </fill>
    </dxf>
    <dxf>
      <fill>
        <patternFill patternType="solid">
          <fgColor rgb="FF50BB67"/>
          <bgColor rgb="FF000000"/>
        </patternFill>
      </fill>
    </dxf>
    <dxf>
      <fill>
        <patternFill patternType="solid">
          <fgColor rgb="FF52BB66"/>
          <bgColor rgb="FF000000"/>
        </patternFill>
      </fill>
    </dxf>
    <dxf>
      <fill>
        <patternFill patternType="solid">
          <fgColor rgb="FF53BB66"/>
          <bgColor rgb="FF000000"/>
        </patternFill>
      </fill>
    </dxf>
    <dxf>
      <fill>
        <patternFill patternType="solid">
          <fgColor rgb="FF55BB66"/>
          <bgColor rgb="FF000000"/>
        </patternFill>
      </fill>
    </dxf>
    <dxf>
      <fill>
        <patternFill patternType="solid">
          <fgColor rgb="FF5BBB63"/>
          <bgColor rgb="FF000000"/>
        </patternFill>
      </fill>
    </dxf>
    <dxf>
      <fill>
        <patternFill patternType="solid">
          <fgColor rgb="FF5CBB63"/>
          <bgColor rgb="FF000000"/>
        </patternFill>
      </fill>
    </dxf>
    <dxf>
      <fill>
        <patternFill patternType="solid">
          <fgColor rgb="FF5FBC61"/>
          <bgColor rgb="FF000000"/>
        </patternFill>
      </fill>
    </dxf>
    <dxf>
      <fill>
        <patternFill patternType="solid">
          <fgColor rgb="FF60BC61"/>
          <bgColor rgb="FF000000"/>
        </patternFill>
      </fill>
    </dxf>
    <dxf>
      <fill>
        <patternFill patternType="solid">
          <fgColor rgb="FF62BC60"/>
          <bgColor rgb="FF000000"/>
        </patternFill>
      </fill>
    </dxf>
    <dxf>
      <fill>
        <patternFill patternType="solid">
          <fgColor rgb="FF64BC5F"/>
          <bgColor rgb="FF000000"/>
        </patternFill>
      </fill>
    </dxf>
    <dxf>
      <fill>
        <patternFill patternType="solid">
          <fgColor rgb="FF6BBC5D"/>
          <bgColor rgb="FF000000"/>
        </patternFill>
      </fill>
    </dxf>
    <dxf>
      <fill>
        <patternFill patternType="solid">
          <fgColor rgb="FF71BC5A"/>
          <bgColor rgb="FF000000"/>
        </patternFill>
      </fill>
    </dxf>
    <dxf>
      <fill>
        <patternFill patternType="solid">
          <fgColor rgb="FF72BC5A"/>
          <bgColor rgb="FF000000"/>
        </patternFill>
      </fill>
    </dxf>
    <dxf>
      <fill>
        <patternFill patternType="solid">
          <fgColor rgb="FF73BC59"/>
          <bgColor rgb="FF000000"/>
        </patternFill>
      </fill>
    </dxf>
    <dxf>
      <fill>
        <patternFill patternType="solid">
          <fgColor rgb="FF74BC59"/>
          <bgColor rgb="FF000000"/>
        </patternFill>
      </fill>
    </dxf>
    <dxf>
      <fill>
        <patternFill patternType="solid">
          <fgColor rgb="FF78BC58"/>
          <bgColor rgb="FF000000"/>
        </patternFill>
      </fill>
    </dxf>
    <dxf>
      <fill>
        <patternFill patternType="solid">
          <fgColor rgb="FF7DBC56"/>
          <bgColor rgb="FF000000"/>
        </patternFill>
      </fill>
    </dxf>
    <dxf>
      <fill>
        <patternFill patternType="solid">
          <fgColor rgb="FF7EBC55"/>
          <bgColor rgb="FF000000"/>
        </patternFill>
      </fill>
    </dxf>
    <dxf>
      <fill>
        <patternFill patternType="solid">
          <fgColor rgb="FF7FBC55"/>
          <bgColor rgb="FF000000"/>
        </patternFill>
      </fill>
    </dxf>
    <dxf>
      <fill>
        <patternFill patternType="solid">
          <fgColor rgb="FF80BC54"/>
          <bgColor rgb="FF000000"/>
        </patternFill>
      </fill>
    </dxf>
    <dxf>
      <fill>
        <patternFill patternType="solid">
          <fgColor rgb="FF81BC54"/>
          <bgColor rgb="FF000000"/>
        </patternFill>
      </fill>
    </dxf>
    <dxf>
      <fill>
        <patternFill patternType="solid">
          <fgColor rgb="FF84BC53"/>
          <bgColor rgb="FF000000"/>
        </patternFill>
      </fill>
    </dxf>
    <dxf>
      <fill>
        <patternFill patternType="solid">
          <fgColor rgb="FF85BC52"/>
          <bgColor rgb="FF000000"/>
        </patternFill>
      </fill>
    </dxf>
    <dxf>
      <fill>
        <patternFill patternType="solid">
          <fgColor rgb="FF87BD52"/>
          <bgColor rgb="FF000000"/>
        </patternFill>
      </fill>
    </dxf>
    <dxf>
      <fill>
        <patternFill patternType="solid">
          <fgColor rgb="FF88BD51"/>
          <bgColor rgb="FF000000"/>
        </patternFill>
      </fill>
    </dxf>
    <dxf>
      <fill>
        <patternFill patternType="solid">
          <fgColor rgb="FF8ABD51"/>
          <bgColor rgb="FF000000"/>
        </patternFill>
      </fill>
    </dxf>
    <dxf>
      <fill>
        <patternFill patternType="solid">
          <fgColor rgb="FF91BD4E"/>
          <bgColor rgb="FF000000"/>
        </patternFill>
      </fill>
    </dxf>
    <dxf>
      <fill>
        <patternFill patternType="solid">
          <fgColor rgb="FF92BD4D"/>
          <bgColor rgb="FF000000"/>
        </patternFill>
      </fill>
    </dxf>
    <dxf>
      <fill>
        <patternFill patternType="solid">
          <fgColor rgb="FF96BD4B"/>
          <bgColor rgb="FF000000"/>
        </patternFill>
      </fill>
    </dxf>
    <dxf>
      <fill>
        <patternFill patternType="solid">
          <fgColor rgb="FF9BBD4A"/>
          <bgColor rgb="FF000000"/>
        </patternFill>
      </fill>
    </dxf>
    <dxf>
      <fill>
        <patternFill patternType="solid">
          <fgColor rgb="FF9EBD49"/>
          <bgColor rgb="FF000000"/>
        </patternFill>
      </fill>
    </dxf>
    <dxf>
      <fill>
        <patternFill patternType="solid">
          <fgColor rgb="FFA0BD48"/>
          <bgColor rgb="FF000000"/>
        </patternFill>
      </fill>
    </dxf>
    <dxf>
      <fill>
        <patternFill patternType="solid">
          <fgColor rgb="FFA1BD47"/>
          <bgColor rgb="FF000000"/>
        </patternFill>
      </fill>
    </dxf>
    <dxf>
      <fill>
        <patternFill patternType="solid">
          <fgColor rgb="FFA2BD47"/>
          <bgColor rgb="FF000000"/>
        </patternFill>
      </fill>
    </dxf>
    <dxf>
      <fill>
        <patternFill patternType="solid">
          <fgColor rgb="FFA3BD46"/>
          <bgColor rgb="FF000000"/>
        </patternFill>
      </fill>
    </dxf>
    <dxf>
      <fill>
        <patternFill patternType="solid">
          <fgColor rgb="FFA5BD46"/>
          <bgColor rgb="FF000000"/>
        </patternFill>
      </fill>
    </dxf>
    <dxf>
      <fill>
        <patternFill patternType="solid">
          <fgColor rgb="FFA6BD45"/>
          <bgColor rgb="FF000000"/>
        </patternFill>
      </fill>
    </dxf>
    <dxf>
      <fill>
        <patternFill patternType="solid">
          <fgColor rgb="FFACBD43"/>
          <bgColor rgb="FF000000"/>
        </patternFill>
      </fill>
    </dxf>
    <dxf>
      <fill>
        <patternFill patternType="solid">
          <fgColor rgb="FFADBD43"/>
          <bgColor rgb="FF000000"/>
        </patternFill>
      </fill>
    </dxf>
    <dxf>
      <fill>
        <patternFill patternType="solid">
          <fgColor rgb="FFB0BE41"/>
          <bgColor rgb="FF000000"/>
        </patternFill>
      </fill>
    </dxf>
    <dxf>
      <fill>
        <patternFill patternType="solid">
          <fgColor rgb="FFB6BE3F"/>
          <bgColor rgb="FF000000"/>
        </patternFill>
      </fill>
    </dxf>
    <dxf>
      <fill>
        <patternFill patternType="solid">
          <fgColor rgb="FFB7BE3E"/>
          <bgColor rgb="FF000000"/>
        </patternFill>
      </fill>
    </dxf>
    <dxf>
      <fill>
        <patternFill patternType="solid">
          <fgColor rgb="FFB9BE3E"/>
          <bgColor rgb="FF000000"/>
        </patternFill>
      </fill>
    </dxf>
    <dxf>
      <fill>
        <patternFill patternType="solid">
          <fgColor rgb="FFBCBE3D"/>
          <bgColor rgb="FF000000"/>
        </patternFill>
      </fill>
    </dxf>
    <dxf>
      <fill>
        <patternFill patternType="solid">
          <fgColor rgb="FFBEBE3C"/>
          <bgColor rgb="FF000000"/>
        </patternFill>
      </fill>
    </dxf>
    <dxf>
      <fill>
        <patternFill patternType="solid">
          <fgColor rgb="FFC1BE3B"/>
          <bgColor rgb="FF000000"/>
        </patternFill>
      </fill>
    </dxf>
    <dxf>
      <fill>
        <patternFill patternType="solid">
          <fgColor rgb="FFC3BE3A"/>
          <bgColor rgb="FF000000"/>
        </patternFill>
      </fill>
    </dxf>
    <dxf>
      <fill>
        <patternFill patternType="solid">
          <fgColor rgb="FFC7BE38"/>
          <bgColor rgb="FF000000"/>
        </patternFill>
      </fill>
    </dxf>
    <dxf>
      <fill>
        <patternFill patternType="solid">
          <fgColor rgb="FFC8BE38"/>
          <bgColor rgb="FF000000"/>
        </patternFill>
      </fill>
    </dxf>
    <dxf>
      <fill>
        <patternFill patternType="solid">
          <fgColor rgb="FFCBBE37"/>
          <bgColor rgb="FF000000"/>
        </patternFill>
      </fill>
    </dxf>
    <dxf>
      <fill>
        <patternFill patternType="solid">
          <fgColor rgb="FFCDBE36"/>
          <bgColor rgb="FF000000"/>
        </patternFill>
      </fill>
    </dxf>
    <dxf>
      <fill>
        <patternFill patternType="solid">
          <fgColor rgb="FFCEBE36"/>
          <bgColor rgb="FF000000"/>
        </patternFill>
      </fill>
    </dxf>
    <dxf>
      <fill>
        <patternFill patternType="solid">
          <fgColor rgb="FFCFBE35"/>
          <bgColor rgb="FF000000"/>
        </patternFill>
      </fill>
    </dxf>
    <dxf>
      <fill>
        <patternFill patternType="solid">
          <fgColor rgb="FFD0BE35"/>
          <bgColor rgb="FF000000"/>
        </patternFill>
      </fill>
    </dxf>
    <dxf>
      <fill>
        <patternFill patternType="solid">
          <fgColor rgb="FFD1BE34"/>
          <bgColor rgb="FF000000"/>
        </patternFill>
      </fill>
    </dxf>
    <dxf>
      <fill>
        <patternFill patternType="solid">
          <fgColor rgb="FFD6BF32"/>
          <bgColor rgb="FF000000"/>
        </patternFill>
      </fill>
    </dxf>
    <dxf>
      <fill>
        <patternFill patternType="solid">
          <fgColor rgb="FFD9BF31"/>
          <bgColor rgb="FF000000"/>
        </patternFill>
      </fill>
    </dxf>
    <dxf>
      <fill>
        <patternFill patternType="solid">
          <fgColor rgb="FFDDBF30"/>
          <bgColor rgb="FF000000"/>
        </patternFill>
      </fill>
    </dxf>
    <dxf>
      <fill>
        <patternFill patternType="solid">
          <fgColor rgb="FFE0BF2E"/>
          <bgColor rgb="FF000000"/>
        </patternFill>
      </fill>
    </dxf>
    <dxf>
      <fill>
        <patternFill patternType="solid">
          <fgColor rgb="FFE6BF2C"/>
          <bgColor rgb="FF000000"/>
        </patternFill>
      </fill>
    </dxf>
    <dxf>
      <fill>
        <patternFill patternType="solid">
          <fgColor rgb="FFECBF2A"/>
          <bgColor rgb="FF000000"/>
        </patternFill>
      </fill>
    </dxf>
    <dxf>
      <fill>
        <patternFill patternType="solid">
          <fgColor rgb="FFEDBF29"/>
          <bgColor rgb="FF000000"/>
        </patternFill>
      </fill>
    </dxf>
    <dxf>
      <fill>
        <patternFill patternType="solid">
          <fgColor rgb="FFEFBF29"/>
          <bgColor rgb="FF000000"/>
        </patternFill>
      </fill>
    </dxf>
    <dxf>
      <fill>
        <patternFill patternType="solid">
          <fgColor rgb="FFF3BF27"/>
          <bgColor rgb="FF000000"/>
        </patternFill>
      </fill>
    </dxf>
    <dxf>
      <fill>
        <patternFill patternType="solid">
          <fgColor rgb="FFF6BF26"/>
          <bgColor rgb="FF000000"/>
        </patternFill>
      </fill>
    </dxf>
    <dxf>
      <fill>
        <patternFill patternType="solid">
          <fgColor rgb="FFF7BF25"/>
          <bgColor rgb="FF000000"/>
        </patternFill>
      </fill>
    </dxf>
    <dxf>
      <fill>
        <patternFill patternType="solid">
          <fgColor rgb="FFFAB132"/>
          <bgColor rgb="FF000000"/>
        </patternFill>
      </fill>
    </dxf>
    <dxf>
      <fill>
        <patternFill patternType="solid">
          <fgColor rgb="FFFAB92A"/>
          <bgColor rgb="FF000000"/>
        </patternFill>
      </fill>
    </dxf>
    <dxf>
      <fill>
        <patternFill patternType="solid">
          <fgColor rgb="FFFABA29"/>
          <bgColor rgb="FF000000"/>
        </patternFill>
      </fill>
    </dxf>
    <dxf>
      <fill>
        <patternFill patternType="solid">
          <fgColor rgb="FFFABE25"/>
          <bgColor rgb="FF000000"/>
        </patternFill>
      </fill>
    </dxf>
    <dxf>
      <fill>
        <patternFill patternType="solid">
          <fgColor rgb="FFFABF24"/>
          <bgColor rgb="FF000000"/>
        </patternFill>
      </fill>
    </dxf>
    <dxf>
      <fill>
        <patternFill patternType="solid">
          <fgColor rgb="FFFBBF24"/>
          <bgColor rgb="FF000000"/>
        </patternFill>
      </fill>
    </dxf>
    <dxf>
      <fill>
        <patternFill patternType="solid">
          <fgColor rgb="FF2EBFA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2EBFA5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EF4444"/>
      <rgbColor rgb="FF00FFFF"/>
      <rgbColor rgb="FF991B1B"/>
      <rgbColor rgb="FF008000"/>
      <rgbColor rgb="FF000080"/>
      <rgbColor rgb="FF6B7280"/>
      <rgbColor rgb="FF800080"/>
      <rgbColor rgb="FF065F46"/>
      <rgbColor rgb="FFF9F9F9"/>
      <rgbColor rgb="FF878787"/>
      <rgbColor rgb="FF8B5CF6"/>
      <rgbColor rgb="FF7C2D12"/>
      <rgbColor rgb="FFFFF9C4"/>
      <rgbColor rgb="FFDBEAFE"/>
      <rgbColor rgb="FF660066"/>
      <rgbColor rgb="FFFF6B6B"/>
      <rgbColor rgb="FF6366F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4B8A6"/>
      <rgbColor rgb="FFE5E7EB"/>
      <rgbColor rgb="FFD1FAE5"/>
      <rgbColor rgb="FFFEF3C7"/>
      <rgbColor rgb="FFF8FAFC"/>
      <rgbColor rgb="FFEC4899"/>
      <rgbColor rgb="FFCC99FF"/>
      <rgbColor rgb="FFFEE2E2"/>
      <rgbColor rgb="FF3B82F6"/>
      <rgbColor rgb="FF2EBFA5"/>
      <rgbColor rgb="FF99CC00"/>
      <rgbColor rgb="FFFFCC00"/>
      <rgbColor rgb="FFF4A261"/>
      <rgbColor rgb="FFEA580C"/>
      <rgbColor rgb="FF64748B"/>
      <rgbColor rgb="FF94A3B8"/>
      <rgbColor rgb="FF1E3A5F"/>
      <rgbColor rgb="FF10B981"/>
      <rgbColor rgb="FF0F172A"/>
      <rgbColor rgb="FF333300"/>
      <rgbColor rgb="FF92400E"/>
      <rgbColor rgb="FFB91C1C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Dashboard!F22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1e40a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Dashboard!$A$23:$A$27</c:f>
              <c:strCache>
                <c:ptCount val="5"/>
                <c:pt idx="0">
                  <c:v>Q2-2025</c:v>
                </c:pt>
                <c:pt idx="1">
                  <c:v>Q3-2025</c:v>
                </c:pt>
                <c:pt idx="2">
                  <c:v>Q4-2025</c:v>
                </c:pt>
                <c:pt idx="3">
                  <c:v>Q1-2026</c:v>
                </c:pt>
                <c:pt idx="4">
                  <c:v>Q2-2026</c:v>
                </c:pt>
              </c:strCache>
            </c:strRef>
          </c:cat>
          <c:val>
            <c:numRef>
              <c:f>Dashboard!$F$23:$F$27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Dashboard!H22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b91c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Dashboard!$A$23:$A$27</c:f>
              <c:strCache>
                <c:ptCount val="5"/>
                <c:pt idx="0">
                  <c:v>Q2-2025</c:v>
                </c:pt>
                <c:pt idx="1">
                  <c:v>Q3-2025</c:v>
                </c:pt>
                <c:pt idx="2">
                  <c:v>Q4-2025</c:v>
                </c:pt>
                <c:pt idx="3">
                  <c:v>Q1-2026</c:v>
                </c:pt>
                <c:pt idx="4">
                  <c:v>Q2-2026</c:v>
                </c:pt>
              </c:strCache>
            </c:strRef>
          </c:cat>
          <c:val>
            <c:numRef>
              <c:f>Dashboard!$H$23:$H$27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gapWidth val="150"/>
        <c:overlap val="100"/>
        <c:axId val="76792797"/>
        <c:axId val="65403214"/>
      </c:barChart>
      <c:catAx>
        <c:axId val="76792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03214"/>
        <c:crosses val="autoZero"/>
        <c:auto val="1"/>
        <c:lblAlgn val="ctr"/>
        <c:lblOffset val="100"/>
        <c:noMultiLvlLbl val="0"/>
      </c:catAx>
      <c:valAx>
        <c:axId val="65403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927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12</xdr:col>
      <xdr:colOff>258120</xdr:colOff>
      <xdr:row>40</xdr:row>
      <xdr:rowOff>156600</xdr:rowOff>
    </xdr:to>
    <xdr:graphicFrame>
      <xdr:nvGraphicFramePr>
        <xdr:cNvPr id="0" name="Chart 1"/>
        <xdr:cNvGraphicFramePr/>
      </xdr:nvGraphicFramePr>
      <xdr:xfrm>
        <a:off x="0" y="74199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true"/>
  </sheetPr>
  <dimension ref="A1:X14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6.51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5.5" hidden="false" customHeight="true" outlineLevel="0" collapsed="false">
      <c r="A3" s="3" t="str">
        <f aca="false">" Report Date:   "&amp;TEXT(ReportDate,"dddd, dd mmmm yyyy")</f>
        <v> Report Date:   Monday, 11 May 2026</v>
      </c>
      <c r="B3" s="3"/>
      <c r="C3" s="3"/>
      <c r="D3" s="3"/>
      <c r="E3" s="3"/>
      <c r="F3" s="3"/>
      <c r="G3" s="3"/>
      <c r="H3" s="3"/>
      <c r="I3" s="4" t="str">
        <f aca="false">" Active Headcount: "&amp;(COUNTIFS(IndiaStatus,"&lt;&gt;Offboarded")+COUNTIFS(USStatus,"&lt;&gt;Offboarded"))</f>
        <v> Active Headcount: 116</v>
      </c>
      <c r="J3" s="4"/>
      <c r="K3" s="4"/>
      <c r="L3" s="4"/>
      <c r="M3" s="4"/>
      <c r="N3" s="4"/>
      <c r="O3" s="4"/>
      <c r="P3" s="4"/>
      <c r="Q3" s="5" t="str">
        <f aca="false">"Open Risks: "&amp;COUNTIF(RiskStatuses,"Open")+COUNTIF(RiskStatuses,"Under Review")+COUNTIF(RiskStatuses,"Mitigation in Progress")</f>
        <v>Open Risks: 15</v>
      </c>
      <c r="R3" s="5"/>
      <c r="S3" s="5"/>
      <c r="T3" s="5"/>
      <c r="U3" s="5"/>
      <c r="V3" s="5"/>
      <c r="W3" s="5"/>
      <c r="X3" s="5"/>
    </row>
    <row r="4" customFormat="false" ht="7.5" hidden="false" customHeight="true" outlineLevel="0" collapsed="false"/>
    <row r="5" customFormat="false" ht="21.75" hidden="false" customHeight="true" outlineLevel="0" collapsed="false">
      <c r="A5" s="6" t="s">
        <v>2</v>
      </c>
      <c r="B5" s="6"/>
      <c r="C5" s="6"/>
      <c r="D5" s="6"/>
      <c r="E5" s="7" t="s">
        <v>3</v>
      </c>
      <c r="F5" s="7"/>
      <c r="G5" s="7"/>
      <c r="H5" s="7"/>
      <c r="I5" s="8" t="s">
        <v>4</v>
      </c>
      <c r="J5" s="8"/>
      <c r="K5" s="8"/>
      <c r="L5" s="8"/>
      <c r="M5" s="9" t="s">
        <v>5</v>
      </c>
      <c r="N5" s="9"/>
      <c r="O5" s="9"/>
      <c r="P5" s="9"/>
      <c r="Q5" s="10" t="s">
        <v>6</v>
      </c>
      <c r="R5" s="10"/>
      <c r="S5" s="10"/>
      <c r="T5" s="10"/>
      <c r="U5" s="11" t="s">
        <v>7</v>
      </c>
      <c r="V5" s="11"/>
      <c r="W5" s="11"/>
      <c r="X5" s="11"/>
    </row>
    <row r="6" customFormat="false" ht="21.75" hidden="false" customHeight="true" outlineLevel="0" collapsed="false">
      <c r="A6" s="12" t="n">
        <f aca="false">COUNTIFS(IndiaStatus,"&lt;&gt;Offboarded")+COUNTIFS(USStatus,"&lt;&gt;Offboarded")</f>
        <v>116</v>
      </c>
      <c r="B6" s="12"/>
      <c r="C6" s="12"/>
      <c r="D6" s="12"/>
      <c r="E6" s="13" t="n">
        <f aca="false">COUNTIF(IndiaStatus,"Confirmed")+COUNTIF(USStatus,"Confirmed")</f>
        <v>80</v>
      </c>
      <c r="F6" s="13"/>
      <c r="G6" s="13"/>
      <c r="H6" s="13"/>
      <c r="I6" s="14" t="n">
        <f aca="false">COUNTIF(IndiaStatus,"Intern")+COUNTIF(USStatus,"Intern")</f>
        <v>14</v>
      </c>
      <c r="J6" s="14"/>
      <c r="K6" s="14"/>
      <c r="L6" s="14"/>
      <c r="M6" s="15" t="n">
        <f aca="false">SUMPRODUCT((IndiaInternEnd&lt;&gt;"")*(IndiaInternEnd-ReportDate&gt;=0)*(IndiaInternEnd-ReportDate&lt;=InternAlertDays))+SUMPRODUCT((USInternEnd&lt;&gt;"")*(USInternEnd-ReportDate&gt;=0)*(USInternEnd-ReportDate&lt;=InternAlertDays))</f>
        <v>7</v>
      </c>
      <c r="N6" s="15"/>
      <c r="O6" s="15"/>
      <c r="P6" s="15"/>
      <c r="Q6" s="16" t="n">
        <f aca="false">SUMPRODUCT((IndiaStatus="Under Probation")*((ProbationDays-(ReportDate-IndiaDOJ))&gt;=0)*((ProbationDays-(ReportDate-IndiaDOJ))&lt;=ProbationWindow))+SUMPRODUCT((USStatus="Under Probation")*((ProbationDays-(ReportDate-USDOJ))&gt;=0)*((ProbationDays-(ReportDate-USDOJ))&lt;=ProbationWindow))</f>
        <v>14</v>
      </c>
      <c r="R6" s="16"/>
      <c r="S6" s="16"/>
      <c r="T6" s="16"/>
      <c r="U6" s="17" t="n">
        <f aca="false">IFERROR(COUNTIF(OffQuarter,"Q"&amp;ROUNDUP(MONTH(ReportDate)/3,0)&amp;"-"&amp;YEAR(ReportDate))/((COUNTIFS(IndiaStatus,"&lt;&gt;Offboarded")+COUNTIFS(USStatus,"&lt;&gt;Offboarded"))+COUNTIF(OffQuarter,"Q"&amp;ROUNDUP(MONTH(ReportDate)/3,0)&amp;"-"&amp;YEAR(ReportDate))),0)</f>
        <v>0.0333333333333333</v>
      </c>
      <c r="V6" s="17"/>
      <c r="W6" s="17"/>
      <c r="X6" s="17"/>
    </row>
    <row r="7" customFormat="false" ht="21.75" hidden="false" customHeight="true" outlineLevel="0" collapsed="false">
      <c r="A7" s="12"/>
      <c r="B7" s="12"/>
      <c r="C7" s="12"/>
      <c r="D7" s="12"/>
      <c r="E7" s="13"/>
      <c r="F7" s="13"/>
      <c r="G7" s="13"/>
      <c r="H7" s="13"/>
      <c r="I7" s="14"/>
      <c r="J7" s="14"/>
      <c r="K7" s="14"/>
      <c r="L7" s="14"/>
      <c r="M7" s="15"/>
      <c r="N7" s="15"/>
      <c r="O7" s="15"/>
      <c r="P7" s="15"/>
      <c r="Q7" s="16"/>
      <c r="R7" s="16"/>
      <c r="S7" s="16"/>
      <c r="T7" s="16"/>
      <c r="U7" s="17"/>
      <c r="V7" s="17"/>
      <c r="W7" s="17"/>
      <c r="X7" s="17"/>
    </row>
    <row r="8" customFormat="false" ht="21.75" hidden="false" customHeight="true" outlineLevel="0" collapsed="false">
      <c r="A8" s="18" t="str">
        <f aca="false">"India "&amp;COUNTIFS(IndiaStatus,"&lt;&gt;Offboarded")&amp;"  •  US "&amp;COUNTIFS(USStatus,"&lt;&gt;Offboarded")</f>
        <v>India 81  •  US 35</v>
      </c>
      <c r="B8" s="18"/>
      <c r="C8" s="18"/>
      <c r="D8" s="18"/>
      <c r="E8" s="19" t="str">
        <f aca="false">TEXT((COUNTIF(IndiaStatus,"Confirmed")+COUNTIF(USStatus,"Confirmed"))/(COUNTIFS(IndiaStatus,"&lt;&gt;Offboarded")+COUNTIFS(USStatus,"&lt;&gt;Offboarded")),"0.0%")&amp;" of active"</f>
        <v>69.0% of active</v>
      </c>
      <c r="F8" s="19"/>
      <c r="G8" s="19"/>
      <c r="H8" s="19"/>
      <c r="I8" s="20" t="str">
        <f aca="false">"India "&amp;COUNTIF(IndiaStatus,"Intern")&amp;"  •  US "&amp;COUNTIF(USStatus,"Intern")</f>
        <v>India 12  •  US 2</v>
      </c>
      <c r="J8" s="20"/>
      <c r="K8" s="20"/>
      <c r="L8" s="20"/>
      <c r="M8" s="21" t="str">
        <f aca="false">"Action: confirm transition or exit"</f>
        <v>Action: confirm transition or exit</v>
      </c>
      <c r="N8" s="21"/>
      <c r="O8" s="21"/>
      <c r="P8" s="21"/>
      <c r="Q8" s="22" t="str">
        <f aca="false">"Action: complete review"</f>
        <v>Action: complete review</v>
      </c>
      <c r="R8" s="22"/>
      <c r="S8" s="22"/>
      <c r="T8" s="22"/>
      <c r="U8" s="23" t="str">
        <f aca="false">"Quarterly turnover rate"</f>
        <v>Quarterly turnover rate</v>
      </c>
      <c r="V8" s="23"/>
      <c r="W8" s="23"/>
      <c r="X8" s="23"/>
    </row>
    <row r="9" customFormat="false" ht="9.75" hidden="false" customHeight="true" outlineLevel="0" collapsed="false"/>
    <row r="10" customFormat="false" ht="24" hidden="false" customHeight="true" outlineLevel="0" collapsed="false">
      <c r="A10" s="24" t="s">
        <v>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 t="s">
        <v>9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customFormat="false" ht="19.5" hidden="false" customHeight="true" outlineLevel="0" collapsed="false">
      <c r="A11" s="25" t="s">
        <v>10</v>
      </c>
      <c r="B11" s="25"/>
      <c r="C11" s="25"/>
      <c r="D11" s="25" t="s">
        <v>11</v>
      </c>
      <c r="E11" s="25"/>
      <c r="F11" s="25" t="s">
        <v>12</v>
      </c>
      <c r="G11" s="25"/>
      <c r="H11" s="25" t="s">
        <v>13</v>
      </c>
      <c r="I11" s="25"/>
      <c r="J11" s="25" t="s">
        <v>14</v>
      </c>
      <c r="K11" s="25"/>
      <c r="L11" s="25"/>
      <c r="M11" s="26" t="str">
        <f aca="false">" INDIA"&amp;CHAR(10)&amp;COUNTIFS(IndiaStatus,"&lt;&gt;Offboarded")&amp;" employees"</f>
        <v> INDIA
81 employees</v>
      </c>
      <c r="N11" s="26"/>
      <c r="O11" s="26"/>
      <c r="P11" s="26"/>
      <c r="Q11" s="26"/>
      <c r="R11" s="26"/>
      <c r="S11" s="27" t="str">
        <f aca="false">" UNITED STATES"&amp;CHAR(10)&amp;COUNTIFS(USStatus,"&lt;&gt;Offboarded")&amp;" employees"</f>
        <v> UNITED STATES
35 employees</v>
      </c>
      <c r="T11" s="27"/>
      <c r="U11" s="27"/>
      <c r="V11" s="27"/>
      <c r="W11" s="27"/>
      <c r="X11" s="27"/>
    </row>
    <row r="12" customFormat="false" ht="19.5" hidden="false" customHeight="true" outlineLevel="0" collapsed="false">
      <c r="A12" s="28" t="s">
        <v>15</v>
      </c>
      <c r="B12" s="28"/>
      <c r="C12" s="28"/>
      <c r="D12" s="29" t="n">
        <f aca="false">COUNTIFS(IndiaDept,"Engineering",IndiaStatus,"&lt;&gt;Offboarded")</f>
        <v>11</v>
      </c>
      <c r="E12" s="29"/>
      <c r="F12" s="29" t="n">
        <f aca="false">COUNTIFS(USDept,"Engineering",USStatus,"&lt;&gt;Offboarded")</f>
        <v>4</v>
      </c>
      <c r="G12" s="29"/>
      <c r="H12" s="30" t="n">
        <f aca="false">D12+F12</f>
        <v>15</v>
      </c>
      <c r="I12" s="30"/>
      <c r="J12" s="31" t="n">
        <f aca="false">H12/(COUNTIFS(IndiaStatus,"&lt;&gt;Offboarded")+COUNTIFS(USStatus,"&lt;&gt;Offboarded"))</f>
        <v>0.129310344827586</v>
      </c>
      <c r="K12" s="31"/>
      <c r="L12" s="31"/>
      <c r="M12" s="26"/>
      <c r="N12" s="26"/>
      <c r="O12" s="26"/>
      <c r="P12" s="26"/>
      <c r="Q12" s="26"/>
      <c r="R12" s="26"/>
      <c r="S12" s="27"/>
      <c r="T12" s="27"/>
      <c r="U12" s="27"/>
      <c r="V12" s="27"/>
      <c r="W12" s="27"/>
      <c r="X12" s="27"/>
    </row>
    <row r="13" customFormat="false" ht="19.5" hidden="false" customHeight="true" outlineLevel="0" collapsed="false">
      <c r="A13" s="32" t="s">
        <v>16</v>
      </c>
      <c r="B13" s="32"/>
      <c r="C13" s="32"/>
      <c r="D13" s="33" t="n">
        <f aca="false">COUNTIFS(IndiaDept,"Product",IndiaStatus,"&lt;&gt;Offboarded")</f>
        <v>10</v>
      </c>
      <c r="E13" s="33"/>
      <c r="F13" s="33" t="n">
        <f aca="false">COUNTIFS(USDept,"Product",USStatus,"&lt;&gt;Offboarded")</f>
        <v>8</v>
      </c>
      <c r="G13" s="33"/>
      <c r="H13" s="34" t="n">
        <f aca="false">D13+F13</f>
        <v>18</v>
      </c>
      <c r="I13" s="34"/>
      <c r="J13" s="35" t="n">
        <f aca="false">H13/(COUNTIFS(IndiaStatus,"&lt;&gt;Offboarded")+COUNTIFS(USStatus,"&lt;&gt;Offboarded"))</f>
        <v>0.155172413793103</v>
      </c>
      <c r="K13" s="35"/>
      <c r="L13" s="35"/>
      <c r="M13" s="36" t="s">
        <v>17</v>
      </c>
      <c r="N13" s="36"/>
      <c r="O13" s="36" t="s">
        <v>18</v>
      </c>
      <c r="P13" s="36"/>
      <c r="Q13" s="36" t="s">
        <v>19</v>
      </c>
      <c r="R13" s="36"/>
      <c r="S13" s="36" t="s">
        <v>17</v>
      </c>
      <c r="T13" s="36"/>
      <c r="U13" s="36" t="s">
        <v>18</v>
      </c>
      <c r="V13" s="36"/>
      <c r="W13" s="36" t="s">
        <v>19</v>
      </c>
      <c r="X13" s="36"/>
    </row>
    <row r="14" customFormat="false" ht="19.5" hidden="false" customHeight="true" outlineLevel="0" collapsed="false">
      <c r="A14" s="28" t="s">
        <v>20</v>
      </c>
      <c r="B14" s="28"/>
      <c r="C14" s="28"/>
      <c r="D14" s="29" t="n">
        <f aca="false">COUNTIFS(IndiaDept,"Sales",IndiaStatus,"&lt;&gt;Offboarded")</f>
        <v>10</v>
      </c>
      <c r="E14" s="29"/>
      <c r="F14" s="29" t="n">
        <f aca="false">COUNTIFS(USDept,"Sales",USStatus,"&lt;&gt;Offboarded")</f>
        <v>7</v>
      </c>
      <c r="G14" s="29"/>
      <c r="H14" s="30" t="n">
        <f aca="false">D14+F14</f>
        <v>17</v>
      </c>
      <c r="I14" s="30"/>
      <c r="J14" s="31" t="n">
        <f aca="false">H14/(COUNTIFS(IndiaStatus,"&lt;&gt;Offboarded")+COUNTIFS(USStatus,"&lt;&gt;Offboarded"))</f>
        <v>0.146551724137931</v>
      </c>
      <c r="K14" s="31"/>
      <c r="L14" s="31"/>
      <c r="M14" s="37" t="n">
        <f aca="false">COUNTIF(IndiaStatus,"Confirmed")</f>
        <v>53</v>
      </c>
      <c r="N14" s="37"/>
      <c r="O14" s="38" t="n">
        <f aca="false">COUNTIF(IndiaStatus,"Under Probation")</f>
        <v>16</v>
      </c>
      <c r="P14" s="38"/>
      <c r="Q14" s="39" t="n">
        <f aca="false">COUNTIF(IndiaStatus,"Intern")</f>
        <v>12</v>
      </c>
      <c r="R14" s="39"/>
      <c r="S14" s="37" t="n">
        <f aca="false">COUNTIF(USStatus,"Confirmed")</f>
        <v>27</v>
      </c>
      <c r="T14" s="37"/>
      <c r="U14" s="38" t="n">
        <f aca="false">COUNTIF(USStatus,"Under Probation")</f>
        <v>6</v>
      </c>
      <c r="V14" s="38"/>
      <c r="W14" s="39" t="n">
        <f aca="false">COUNTIF(USStatus,"Intern")</f>
        <v>2</v>
      </c>
      <c r="X14" s="39"/>
    </row>
    <row r="15" customFormat="false" ht="19.5" hidden="false" customHeight="true" outlineLevel="0" collapsed="false">
      <c r="A15" s="32" t="s">
        <v>21</v>
      </c>
      <c r="B15" s="32"/>
      <c r="C15" s="32"/>
      <c r="D15" s="33" t="n">
        <f aca="false">COUNTIFS(IndiaDept,"Marketing",IndiaStatus,"&lt;&gt;Offboarded")</f>
        <v>11</v>
      </c>
      <c r="E15" s="33"/>
      <c r="F15" s="33" t="n">
        <f aca="false">COUNTIFS(USDept,"Marketing",USStatus,"&lt;&gt;Offboarded")</f>
        <v>5</v>
      </c>
      <c r="G15" s="33"/>
      <c r="H15" s="34" t="n">
        <f aca="false">D15+F15</f>
        <v>16</v>
      </c>
      <c r="I15" s="34"/>
      <c r="J15" s="35" t="n">
        <f aca="false">H15/(COUNTIFS(IndiaStatus,"&lt;&gt;Offboarded")+COUNTIFS(USStatus,"&lt;&gt;Offboarded"))</f>
        <v>0.137931034482759</v>
      </c>
      <c r="K15" s="35"/>
      <c r="L15" s="35"/>
    </row>
    <row r="16" customFormat="false" ht="19.5" hidden="false" customHeight="true" outlineLevel="0" collapsed="false">
      <c r="A16" s="28" t="s">
        <v>22</v>
      </c>
      <c r="B16" s="28"/>
      <c r="C16" s="28"/>
      <c r="D16" s="29" t="n">
        <f aca="false">COUNTIFS(IndiaDept,"HR",IndiaStatus,"&lt;&gt;Offboarded")</f>
        <v>10</v>
      </c>
      <c r="E16" s="29"/>
      <c r="F16" s="29" t="n">
        <f aca="false">COUNTIFS(USDept,"HR",USStatus,"&lt;&gt;Offboarded")</f>
        <v>6</v>
      </c>
      <c r="G16" s="29"/>
      <c r="H16" s="30" t="n">
        <f aca="false">D16+F16</f>
        <v>16</v>
      </c>
      <c r="I16" s="30"/>
      <c r="J16" s="31" t="n">
        <f aca="false">H16/(COUNTIFS(IndiaStatus,"&lt;&gt;Offboarded")+COUNTIFS(USStatus,"&lt;&gt;Offboarded"))</f>
        <v>0.137931034482759</v>
      </c>
      <c r="K16" s="31"/>
      <c r="L16" s="31"/>
    </row>
    <row r="17" customFormat="false" ht="19.5" hidden="false" customHeight="true" outlineLevel="0" collapsed="false">
      <c r="A17" s="32" t="s">
        <v>23</v>
      </c>
      <c r="B17" s="32"/>
      <c r="C17" s="32"/>
      <c r="D17" s="33" t="n">
        <f aca="false">COUNTIFS(IndiaDept,"Finance",IndiaStatus,"&lt;&gt;Offboarded")</f>
        <v>8</v>
      </c>
      <c r="E17" s="33"/>
      <c r="F17" s="33" t="n">
        <f aca="false">COUNTIFS(USDept,"Finance",USStatus,"&lt;&gt;Offboarded")</f>
        <v>5</v>
      </c>
      <c r="G17" s="33"/>
      <c r="H17" s="34" t="n">
        <f aca="false">D17+F17</f>
        <v>13</v>
      </c>
      <c r="I17" s="34"/>
      <c r="J17" s="35" t="n">
        <f aca="false">H17/(COUNTIFS(IndiaStatus,"&lt;&gt;Offboarded")+COUNTIFS(USStatus,"&lt;&gt;Offboarded"))</f>
        <v>0.112068965517241</v>
      </c>
      <c r="K17" s="35"/>
      <c r="L17" s="35"/>
    </row>
    <row r="18" customFormat="false" ht="19.5" hidden="false" customHeight="true" outlineLevel="0" collapsed="false">
      <c r="A18" s="28" t="s">
        <v>24</v>
      </c>
      <c r="B18" s="28"/>
      <c r="C18" s="28"/>
      <c r="D18" s="29" t="n">
        <f aca="false">COUNTIFS(IndiaDept,"Operations",IndiaStatus,"&lt;&gt;Offboarded")</f>
        <v>12</v>
      </c>
      <c r="E18" s="29"/>
      <c r="F18" s="29" t="n">
        <f aca="false">COUNTIFS(USDept,"Operations",USStatus,"&lt;&gt;Offboarded")</f>
        <v>0</v>
      </c>
      <c r="G18" s="29"/>
      <c r="H18" s="30" t="n">
        <f aca="false">D18+F18</f>
        <v>12</v>
      </c>
      <c r="I18" s="30"/>
      <c r="J18" s="31" t="n">
        <f aca="false">H18/(COUNTIFS(IndiaStatus,"&lt;&gt;Offboarded")+COUNTIFS(USStatus,"&lt;&gt;Offboarded"))</f>
        <v>0.103448275862069</v>
      </c>
      <c r="K18" s="31"/>
      <c r="L18" s="31"/>
    </row>
    <row r="19" customFormat="false" ht="19.5" hidden="false" customHeight="true" outlineLevel="0" collapsed="false">
      <c r="A19" s="32" t="s">
        <v>25</v>
      </c>
      <c r="B19" s="32"/>
      <c r="C19" s="32"/>
      <c r="D19" s="33" t="n">
        <f aca="false">COUNTIFS(IndiaDept,"Customer Success",IndiaStatus,"&lt;&gt;Offboarded")</f>
        <v>9</v>
      </c>
      <c r="E19" s="33"/>
      <c r="F19" s="33" t="n">
        <f aca="false">COUNTIFS(USDept,"Customer Success",USStatus,"&lt;&gt;Offboarded")</f>
        <v>0</v>
      </c>
      <c r="G19" s="33"/>
      <c r="H19" s="34" t="n">
        <f aca="false">D19+F19</f>
        <v>9</v>
      </c>
      <c r="I19" s="34"/>
      <c r="J19" s="35" t="n">
        <f aca="false">H19/(COUNTIFS(IndiaStatus,"&lt;&gt;Offboarded")+COUNTIFS(USStatus,"&lt;&gt;Offboarded"))</f>
        <v>0.0775862068965517</v>
      </c>
      <c r="K19" s="35"/>
      <c r="L19" s="35"/>
    </row>
    <row r="20" customFormat="false" ht="12" hidden="false" customHeight="true" outlineLevel="0" collapsed="false">
      <c r="A20" s="40" t="s">
        <v>26</v>
      </c>
      <c r="B20" s="40"/>
      <c r="C20" s="40"/>
      <c r="D20" s="41" t="n">
        <f aca="false">SUM(D12:D19)</f>
        <v>81</v>
      </c>
      <c r="E20" s="41"/>
      <c r="F20" s="41" t="n">
        <f aca="false">SUM(F12:F19)</f>
        <v>35</v>
      </c>
      <c r="G20" s="41"/>
      <c r="H20" s="41" t="n">
        <f aca="false">SUM(H12:H19)</f>
        <v>116</v>
      </c>
      <c r="I20" s="41"/>
      <c r="J20" s="42" t="n">
        <f aca="false">SUM(J12:L19)</f>
        <v>1</v>
      </c>
      <c r="K20" s="42"/>
      <c r="L20" s="42"/>
    </row>
    <row r="21" customFormat="false" ht="24" hidden="false" customHeight="true" outlineLevel="0" collapsed="false">
      <c r="A21" s="24" t="s">
        <v>27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 t="s">
        <v>28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customFormat="false" ht="15" hidden="false" customHeight="false" outlineLevel="0" collapsed="false">
      <c r="A22" s="25" t="s">
        <v>29</v>
      </c>
      <c r="B22" s="25"/>
      <c r="C22" s="25"/>
      <c r="D22" s="25" t="s">
        <v>30</v>
      </c>
      <c r="E22" s="25"/>
      <c r="F22" s="25" t="s">
        <v>11</v>
      </c>
      <c r="G22" s="25"/>
      <c r="H22" s="25" t="s">
        <v>12</v>
      </c>
      <c r="I22" s="25"/>
      <c r="J22" s="25" t="s">
        <v>31</v>
      </c>
      <c r="K22" s="25"/>
      <c r="L22" s="25"/>
      <c r="M22" s="43" t="s">
        <v>32</v>
      </c>
      <c r="N22" s="43"/>
      <c r="O22" s="43"/>
      <c r="P22" s="43"/>
      <c r="Q22" s="43"/>
      <c r="R22" s="43"/>
      <c r="S22" s="25" t="s">
        <v>33</v>
      </c>
      <c r="T22" s="25"/>
      <c r="U22" s="25"/>
      <c r="V22" s="25"/>
      <c r="W22" s="25"/>
      <c r="X22" s="25"/>
    </row>
    <row r="23" customFormat="false" ht="21.75" hidden="false" customHeight="true" outlineLevel="0" collapsed="false">
      <c r="A23" s="44" t="s">
        <v>34</v>
      </c>
      <c r="B23" s="44"/>
      <c r="C23" s="44"/>
      <c r="D23" s="45" t="n">
        <f aca="false">COUNTIF(OffQuarter,"Q2-2025")</f>
        <v>5</v>
      </c>
      <c r="E23" s="45"/>
      <c r="F23" s="29" t="n">
        <f aca="false">COUNTIFS(OffQuarter,"Q2-2025",OffGeo,"India")</f>
        <v>3</v>
      </c>
      <c r="G23" s="29"/>
      <c r="H23" s="29" t="n">
        <f aca="false">COUNTIFS(OffQuarter,"Q2-2025",OffGeo,"US")</f>
        <v>2</v>
      </c>
      <c r="I23" s="29"/>
      <c r="J23" s="46" t="n">
        <f aca="false">IFERROR(D23/(COUNTIFS(IndiaStatus,"&lt;&gt;Offboarded")+COUNTIFS(USStatus,"&lt;&gt;Offboarded")+D23),0)</f>
        <v>0.0413223140495868</v>
      </c>
      <c r="K23" s="46"/>
      <c r="L23" s="46"/>
      <c r="M23" s="28" t="s">
        <v>35</v>
      </c>
      <c r="N23" s="28"/>
      <c r="O23" s="28"/>
      <c r="P23" s="28"/>
      <c r="Q23" s="28"/>
      <c r="R23" s="28"/>
      <c r="S23" s="47" t="n">
        <f aca="false">SUM(FinanceAnnualINR)</f>
        <v>618484356.375</v>
      </c>
      <c r="T23" s="47"/>
      <c r="U23" s="47"/>
      <c r="V23" s="47"/>
      <c r="W23" s="47"/>
      <c r="X23" s="47"/>
    </row>
    <row r="24" customFormat="false" ht="21.75" hidden="false" customHeight="true" outlineLevel="0" collapsed="false">
      <c r="A24" s="48" t="s">
        <v>36</v>
      </c>
      <c r="B24" s="48"/>
      <c r="C24" s="48"/>
      <c r="D24" s="49" t="n">
        <f aca="false">COUNTIF(OffQuarter,"Q3-2025")</f>
        <v>5</v>
      </c>
      <c r="E24" s="49"/>
      <c r="F24" s="33" t="n">
        <f aca="false">COUNTIFS(OffQuarter,"Q3-2025",OffGeo,"India")</f>
        <v>4</v>
      </c>
      <c r="G24" s="33"/>
      <c r="H24" s="33" t="n">
        <f aca="false">COUNTIFS(OffQuarter,"Q3-2025",OffGeo,"US")</f>
        <v>1</v>
      </c>
      <c r="I24" s="33"/>
      <c r="J24" s="50" t="n">
        <f aca="false">IFERROR(D24/(COUNTIFS(IndiaStatus,"&lt;&gt;Offboarded")+COUNTIFS(USStatus,"&lt;&gt;Offboarded")+D24),0)</f>
        <v>0.0413223140495868</v>
      </c>
      <c r="K24" s="50"/>
      <c r="L24" s="50"/>
      <c r="M24" s="32" t="s">
        <v>37</v>
      </c>
      <c r="N24" s="32"/>
      <c r="O24" s="32"/>
      <c r="P24" s="32"/>
      <c r="Q24" s="32"/>
      <c r="R24" s="32"/>
      <c r="S24" s="51" t="n">
        <f aca="false">SUM(FinanceAnnualUSD)</f>
        <v>7406998.27994012</v>
      </c>
      <c r="T24" s="51"/>
      <c r="U24" s="51"/>
      <c r="V24" s="51"/>
      <c r="W24" s="51"/>
      <c r="X24" s="51"/>
    </row>
    <row r="25" customFormat="false" ht="21.75" hidden="false" customHeight="true" outlineLevel="0" collapsed="false">
      <c r="A25" s="44" t="s">
        <v>38</v>
      </c>
      <c r="B25" s="44"/>
      <c r="C25" s="44"/>
      <c r="D25" s="45" t="n">
        <f aca="false">COUNTIF(OffQuarter,"Q4-2025")</f>
        <v>6</v>
      </c>
      <c r="E25" s="45"/>
      <c r="F25" s="29" t="n">
        <f aca="false">COUNTIFS(OffQuarter,"Q4-2025",OffGeo,"India")</f>
        <v>6</v>
      </c>
      <c r="G25" s="29"/>
      <c r="H25" s="29" t="n">
        <f aca="false">COUNTIFS(OffQuarter,"Q4-2025",OffGeo,"US")</f>
        <v>0</v>
      </c>
      <c r="I25" s="29"/>
      <c r="J25" s="46" t="n">
        <f aca="false">IFERROR(D25/(COUNTIFS(IndiaStatus,"&lt;&gt;Offboarded")+COUNTIFS(USStatus,"&lt;&gt;Offboarded")+D25),0)</f>
        <v>0.0491803278688525</v>
      </c>
      <c r="K25" s="46"/>
      <c r="L25" s="46"/>
      <c r="M25" s="28" t="s">
        <v>39</v>
      </c>
      <c r="N25" s="28"/>
      <c r="O25" s="28"/>
      <c r="P25" s="28"/>
      <c r="Q25" s="28"/>
      <c r="R25" s="28"/>
      <c r="S25" s="47" t="n">
        <f aca="false">SUM(FinanceMonthlyINR)</f>
        <v>51540363.03125</v>
      </c>
      <c r="T25" s="47"/>
      <c r="U25" s="47"/>
      <c r="V25" s="47"/>
      <c r="W25" s="47"/>
      <c r="X25" s="47"/>
    </row>
    <row r="26" customFormat="false" ht="21.75" hidden="false" customHeight="true" outlineLevel="0" collapsed="false">
      <c r="A26" s="48" t="s">
        <v>40</v>
      </c>
      <c r="B26" s="48"/>
      <c r="C26" s="48"/>
      <c r="D26" s="49" t="n">
        <f aca="false">COUNTIF(OffQuarter,"Q1-2026")</f>
        <v>6</v>
      </c>
      <c r="E26" s="49"/>
      <c r="F26" s="33" t="n">
        <f aca="false">COUNTIFS(OffQuarter,"Q1-2026",OffGeo,"India")</f>
        <v>3</v>
      </c>
      <c r="G26" s="33"/>
      <c r="H26" s="33" t="n">
        <f aca="false">COUNTIFS(OffQuarter,"Q1-2026",OffGeo,"US")</f>
        <v>3</v>
      </c>
      <c r="I26" s="33"/>
      <c r="J26" s="50" t="n">
        <f aca="false">IFERROR(D26/(COUNTIFS(IndiaStatus,"&lt;&gt;Offboarded")+COUNTIFS(USStatus,"&lt;&gt;Offboarded")+D26),0)</f>
        <v>0.0491803278688525</v>
      </c>
      <c r="K26" s="50"/>
      <c r="L26" s="50"/>
      <c r="M26" s="32" t="s">
        <v>41</v>
      </c>
      <c r="N26" s="32"/>
      <c r="O26" s="32"/>
      <c r="P26" s="32"/>
      <c r="Q26" s="32"/>
      <c r="R26" s="32"/>
      <c r="S26" s="52" t="n">
        <f aca="false">SUMIF(FinanceGeo,"India",FinanceAnnualINR)</f>
        <v>215177081</v>
      </c>
      <c r="T26" s="52"/>
      <c r="U26" s="52"/>
      <c r="V26" s="52"/>
      <c r="W26" s="52"/>
      <c r="X26" s="52"/>
    </row>
    <row r="27" customFormat="false" ht="21.75" hidden="false" customHeight="true" outlineLevel="0" collapsed="false">
      <c r="A27" s="44" t="s">
        <v>42</v>
      </c>
      <c r="B27" s="44"/>
      <c r="C27" s="44"/>
      <c r="D27" s="45" t="n">
        <f aca="false">COUNTIF(OffQuarter,"Q2-2026")</f>
        <v>4</v>
      </c>
      <c r="E27" s="45"/>
      <c r="F27" s="29" t="n">
        <f aca="false">COUNTIFS(OffQuarter,"Q2-2026",OffGeo,"India")</f>
        <v>3</v>
      </c>
      <c r="G27" s="29"/>
      <c r="H27" s="29" t="n">
        <f aca="false">COUNTIFS(OffQuarter,"Q2-2026",OffGeo,"US")</f>
        <v>1</v>
      </c>
      <c r="I27" s="29"/>
      <c r="J27" s="46" t="n">
        <f aca="false">IFERROR(D27/(COUNTIFS(IndiaStatus,"&lt;&gt;Offboarded")+COUNTIFS(USStatus,"&lt;&gt;Offboarded")+D27),0)</f>
        <v>0.0333333333333333</v>
      </c>
      <c r="K27" s="46"/>
      <c r="L27" s="46"/>
      <c r="M27" s="28" t="s">
        <v>43</v>
      </c>
      <c r="N27" s="28"/>
      <c r="O27" s="28"/>
      <c r="P27" s="28"/>
      <c r="Q27" s="28"/>
      <c r="R27" s="28"/>
      <c r="S27" s="53" t="n">
        <f aca="false">SUMIF(FinanceGeo,"US",FinanceAnnualUSD)</f>
        <v>4830027.25</v>
      </c>
      <c r="T27" s="53"/>
      <c r="U27" s="53"/>
      <c r="V27" s="53"/>
      <c r="W27" s="53"/>
      <c r="X27" s="53"/>
    </row>
    <row r="28" customFormat="false" ht="21.75" hidden="false" customHeight="true" outlineLevel="0" collapsed="false">
      <c r="M28" s="7" t="s">
        <v>44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customFormat="false" ht="21.75" hidden="false" customHeight="true" outlineLevel="0" collapsed="false">
      <c r="M29" s="28" t="s">
        <v>45</v>
      </c>
      <c r="N29" s="28"/>
      <c r="O29" s="28"/>
      <c r="P29" s="28"/>
      <c r="Q29" s="28"/>
      <c r="R29" s="28"/>
      <c r="S29" s="54" t="n">
        <f aca="false">AVERAGE(ProductivityScore)</f>
        <v>3.83422413793103</v>
      </c>
      <c r="T29" s="54"/>
      <c r="U29" s="54"/>
      <c r="V29" s="54"/>
      <c r="W29" s="54"/>
      <c r="X29" s="54"/>
    </row>
    <row r="30" customFormat="false" ht="21.75" hidden="false" customHeight="true" outlineLevel="0" collapsed="false">
      <c r="M30" s="32" t="s">
        <v>46</v>
      </c>
      <c r="N30" s="32"/>
      <c r="O30" s="32"/>
      <c r="P30" s="32"/>
      <c r="Q30" s="32"/>
      <c r="R30" s="32"/>
      <c r="S30" s="55" t="n">
        <f aca="false">AVERAGEIF(ProductivityGeo,"India",ProductivityScore)</f>
        <v>3.79037037037037</v>
      </c>
      <c r="T30" s="55"/>
      <c r="U30" s="55"/>
      <c r="V30" s="55"/>
      <c r="W30" s="55"/>
      <c r="X30" s="55"/>
    </row>
    <row r="31" customFormat="false" ht="21.75" hidden="false" customHeight="true" outlineLevel="0" collapsed="false">
      <c r="M31" s="28" t="s">
        <v>47</v>
      </c>
      <c r="N31" s="28"/>
      <c r="O31" s="28"/>
      <c r="P31" s="28"/>
      <c r="Q31" s="28"/>
      <c r="R31" s="28"/>
      <c r="S31" s="56" t="n">
        <f aca="false">AVERAGEIF(ProductivityGeo,"US",ProductivityScore)</f>
        <v>3.93571428571429</v>
      </c>
      <c r="T31" s="56"/>
      <c r="U31" s="56"/>
      <c r="V31" s="56"/>
      <c r="W31" s="56"/>
      <c r="X31" s="56"/>
    </row>
    <row r="42" customFormat="false" ht="12" hidden="false" customHeight="true" outlineLevel="0" collapsed="false"/>
    <row r="43" customFormat="false" ht="24" hidden="false" customHeight="true" outlineLevel="0" collapsed="false">
      <c r="A43" s="57" t="s">
        <v>48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 t="s">
        <v>49</v>
      </c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customFormat="false" ht="21.75" hidden="false" customHeight="true" outlineLevel="0" collapsed="false">
      <c r="A44" s="25" t="s">
        <v>50</v>
      </c>
      <c r="B44" s="25"/>
      <c r="C44" s="25" t="s">
        <v>51</v>
      </c>
      <c r="D44" s="25"/>
      <c r="E44" s="25"/>
      <c r="F44" s="25"/>
      <c r="G44" s="25" t="s">
        <v>52</v>
      </c>
      <c r="H44" s="25"/>
      <c r="I44" s="25" t="s">
        <v>53</v>
      </c>
      <c r="J44" s="25"/>
      <c r="K44" s="25" t="s">
        <v>54</v>
      </c>
      <c r="L44" s="25"/>
      <c r="M44" s="25" t="s">
        <v>50</v>
      </c>
      <c r="N44" s="25"/>
      <c r="O44" s="25" t="s">
        <v>51</v>
      </c>
      <c r="P44" s="25"/>
      <c r="Q44" s="25"/>
      <c r="R44" s="25"/>
      <c r="S44" s="25" t="s">
        <v>52</v>
      </c>
      <c r="T44" s="25"/>
      <c r="U44" s="25" t="s">
        <v>55</v>
      </c>
      <c r="V44" s="25"/>
      <c r="W44" s="25" t="s">
        <v>54</v>
      </c>
      <c r="X44" s="25"/>
    </row>
    <row r="45" customFormat="false" ht="19.5" hidden="false" customHeight="true" outlineLevel="0" collapsed="false">
      <c r="A45" s="29" t="s">
        <v>56</v>
      </c>
      <c r="B45" s="29"/>
      <c r="C45" s="28" t="s">
        <v>57</v>
      </c>
      <c r="D45" s="28"/>
      <c r="E45" s="28"/>
      <c r="F45" s="28"/>
      <c r="G45" s="29" t="s">
        <v>20</v>
      </c>
      <c r="H45" s="29"/>
      <c r="I45" s="59" t="n">
        <v>46161</v>
      </c>
      <c r="J45" s="59"/>
      <c r="K45" s="60" t="n">
        <f aca="false">I45-ReportDate</f>
        <v>8</v>
      </c>
      <c r="L45" s="60"/>
      <c r="M45" s="29" t="s">
        <v>58</v>
      </c>
      <c r="N45" s="29"/>
      <c r="O45" s="28" t="s">
        <v>59</v>
      </c>
      <c r="P45" s="28"/>
      <c r="Q45" s="28"/>
      <c r="R45" s="28"/>
      <c r="S45" s="29" t="s">
        <v>23</v>
      </c>
      <c r="T45" s="29"/>
      <c r="U45" s="59" t="n">
        <v>46154</v>
      </c>
      <c r="V45" s="59"/>
      <c r="W45" s="60" t="n">
        <f aca="false">U45-ReportDate</f>
        <v>1</v>
      </c>
      <c r="X45" s="60"/>
    </row>
    <row r="46" customFormat="false" ht="19.5" hidden="false" customHeight="true" outlineLevel="0" collapsed="false">
      <c r="A46" s="33" t="s">
        <v>60</v>
      </c>
      <c r="B46" s="33"/>
      <c r="C46" s="32" t="s">
        <v>61</v>
      </c>
      <c r="D46" s="32"/>
      <c r="E46" s="32"/>
      <c r="F46" s="32"/>
      <c r="G46" s="33" t="s">
        <v>22</v>
      </c>
      <c r="H46" s="33"/>
      <c r="I46" s="61" t="n">
        <v>46166</v>
      </c>
      <c r="J46" s="61"/>
      <c r="K46" s="62" t="n">
        <f aca="false">I46-ReportDate</f>
        <v>13</v>
      </c>
      <c r="L46" s="62"/>
      <c r="M46" s="33" t="s">
        <v>62</v>
      </c>
      <c r="N46" s="33"/>
      <c r="O46" s="32" t="s">
        <v>63</v>
      </c>
      <c r="P46" s="32"/>
      <c r="Q46" s="32"/>
      <c r="R46" s="32"/>
      <c r="S46" s="33" t="s">
        <v>20</v>
      </c>
      <c r="T46" s="33"/>
      <c r="U46" s="61" t="n">
        <v>46155</v>
      </c>
      <c r="V46" s="61"/>
      <c r="W46" s="62" t="n">
        <f aca="false">U46-ReportDate</f>
        <v>2</v>
      </c>
      <c r="X46" s="62"/>
    </row>
    <row r="47" customFormat="false" ht="19.5" hidden="false" customHeight="true" outlineLevel="0" collapsed="false">
      <c r="A47" s="29" t="s">
        <v>64</v>
      </c>
      <c r="B47" s="29"/>
      <c r="C47" s="28" t="s">
        <v>65</v>
      </c>
      <c r="D47" s="28"/>
      <c r="E47" s="28"/>
      <c r="F47" s="28"/>
      <c r="G47" s="29" t="s">
        <v>21</v>
      </c>
      <c r="H47" s="29"/>
      <c r="I47" s="59" t="n">
        <v>46171</v>
      </c>
      <c r="J47" s="59"/>
      <c r="K47" s="60" t="n">
        <f aca="false">I47-ReportDate</f>
        <v>18</v>
      </c>
      <c r="L47" s="60"/>
      <c r="M47" s="29" t="s">
        <v>66</v>
      </c>
      <c r="N47" s="29"/>
      <c r="O47" s="28" t="s">
        <v>67</v>
      </c>
      <c r="P47" s="28"/>
      <c r="Q47" s="28"/>
      <c r="R47" s="28"/>
      <c r="S47" s="29" t="s">
        <v>25</v>
      </c>
      <c r="T47" s="29"/>
      <c r="U47" s="59" t="n">
        <v>46155</v>
      </c>
      <c r="V47" s="59"/>
      <c r="W47" s="60" t="n">
        <f aca="false">U47-ReportDate</f>
        <v>2</v>
      </c>
      <c r="X47" s="60"/>
    </row>
    <row r="48" customFormat="false" ht="19.5" hidden="false" customHeight="true" outlineLevel="0" collapsed="false">
      <c r="A48" s="33" t="s">
        <v>68</v>
      </c>
      <c r="B48" s="33"/>
      <c r="C48" s="32" t="s">
        <v>69</v>
      </c>
      <c r="D48" s="32"/>
      <c r="E48" s="32"/>
      <c r="F48" s="32"/>
      <c r="G48" s="33" t="s">
        <v>15</v>
      </c>
      <c r="H48" s="33"/>
      <c r="I48" s="61" t="n">
        <v>46173</v>
      </c>
      <c r="J48" s="61"/>
      <c r="K48" s="62" t="n">
        <f aca="false">I48-ReportDate</f>
        <v>20</v>
      </c>
      <c r="L48" s="62"/>
      <c r="M48" s="33" t="s">
        <v>70</v>
      </c>
      <c r="N48" s="33"/>
      <c r="O48" s="32" t="s">
        <v>71</v>
      </c>
      <c r="P48" s="32"/>
      <c r="Q48" s="32"/>
      <c r="R48" s="32"/>
      <c r="S48" s="33" t="s">
        <v>22</v>
      </c>
      <c r="T48" s="33"/>
      <c r="U48" s="61" t="n">
        <v>46156</v>
      </c>
      <c r="V48" s="61"/>
      <c r="W48" s="62" t="n">
        <f aca="false">U48-ReportDate</f>
        <v>3</v>
      </c>
      <c r="X48" s="62"/>
    </row>
    <row r="49" customFormat="false" ht="19.5" hidden="false" customHeight="true" outlineLevel="0" collapsed="false">
      <c r="A49" s="29" t="s">
        <v>72</v>
      </c>
      <c r="B49" s="29"/>
      <c r="C49" s="28" t="s">
        <v>73</v>
      </c>
      <c r="D49" s="28"/>
      <c r="E49" s="28"/>
      <c r="F49" s="28"/>
      <c r="G49" s="29" t="s">
        <v>16</v>
      </c>
      <c r="H49" s="29"/>
      <c r="I49" s="59" t="n">
        <v>46185</v>
      </c>
      <c r="J49" s="59"/>
      <c r="K49" s="60" t="n">
        <f aca="false">I49-ReportDate</f>
        <v>32</v>
      </c>
      <c r="L49" s="60"/>
      <c r="M49" s="29" t="s">
        <v>74</v>
      </c>
      <c r="N49" s="29"/>
      <c r="O49" s="28" t="s">
        <v>75</v>
      </c>
      <c r="P49" s="28"/>
      <c r="Q49" s="28"/>
      <c r="R49" s="28"/>
      <c r="S49" s="29" t="s">
        <v>20</v>
      </c>
      <c r="T49" s="29"/>
      <c r="U49" s="59" t="n">
        <v>46165</v>
      </c>
      <c r="V49" s="59"/>
      <c r="W49" s="60" t="n">
        <f aca="false">U49-ReportDate</f>
        <v>12</v>
      </c>
      <c r="X49" s="60"/>
    </row>
    <row r="50" customFormat="false" ht="19.5" hidden="false" customHeight="true" outlineLevel="0" collapsed="false">
      <c r="A50" s="33" t="s">
        <v>76</v>
      </c>
      <c r="B50" s="33"/>
      <c r="C50" s="32" t="s">
        <v>77</v>
      </c>
      <c r="D50" s="32"/>
      <c r="E50" s="32"/>
      <c r="F50" s="32"/>
      <c r="G50" s="33" t="s">
        <v>20</v>
      </c>
      <c r="H50" s="33"/>
      <c r="I50" s="61" t="n">
        <v>46187</v>
      </c>
      <c r="J50" s="61"/>
      <c r="K50" s="62" t="n">
        <f aca="false">I50-ReportDate</f>
        <v>34</v>
      </c>
      <c r="L50" s="62"/>
      <c r="M50" s="33" t="s">
        <v>78</v>
      </c>
      <c r="N50" s="33"/>
      <c r="O50" s="32" t="s">
        <v>79</v>
      </c>
      <c r="P50" s="32"/>
      <c r="Q50" s="32"/>
      <c r="R50" s="32"/>
      <c r="S50" s="33" t="s">
        <v>21</v>
      </c>
      <c r="T50" s="33"/>
      <c r="U50" s="61" t="n">
        <v>46167</v>
      </c>
      <c r="V50" s="61"/>
      <c r="W50" s="62" t="n">
        <f aca="false">U50-ReportDate</f>
        <v>14</v>
      </c>
      <c r="X50" s="62"/>
    </row>
    <row r="51" customFormat="false" ht="19.5" hidden="false" customHeight="true" outlineLevel="0" collapsed="false">
      <c r="A51" s="29" t="s">
        <v>80</v>
      </c>
      <c r="B51" s="29"/>
      <c r="C51" s="28" t="s">
        <v>81</v>
      </c>
      <c r="D51" s="28"/>
      <c r="E51" s="28"/>
      <c r="F51" s="28"/>
      <c r="G51" s="29" t="s">
        <v>15</v>
      </c>
      <c r="H51" s="29"/>
      <c r="I51" s="59" t="n">
        <v>46188</v>
      </c>
      <c r="J51" s="59"/>
      <c r="K51" s="60" t="n">
        <f aca="false">I51-ReportDate</f>
        <v>35</v>
      </c>
      <c r="L51" s="60"/>
      <c r="M51" s="29" t="s">
        <v>82</v>
      </c>
      <c r="N51" s="29"/>
      <c r="O51" s="28" t="s">
        <v>83</v>
      </c>
      <c r="P51" s="28"/>
      <c r="Q51" s="28"/>
      <c r="R51" s="28"/>
      <c r="S51" s="29" t="s">
        <v>16</v>
      </c>
      <c r="T51" s="29"/>
      <c r="U51" s="59" t="n">
        <v>46170</v>
      </c>
      <c r="V51" s="59"/>
      <c r="W51" s="60" t="n">
        <f aca="false">U51-ReportDate</f>
        <v>17</v>
      </c>
      <c r="X51" s="60"/>
    </row>
    <row r="52" customFormat="false" ht="19.5" hidden="false" customHeight="true" outlineLevel="0" collapsed="false">
      <c r="A52" s="33"/>
      <c r="B52" s="33"/>
      <c r="C52" s="32"/>
      <c r="D52" s="32"/>
      <c r="E52" s="32"/>
      <c r="F52" s="32"/>
      <c r="G52" s="33"/>
      <c r="H52" s="33"/>
      <c r="I52" s="33"/>
      <c r="J52" s="33"/>
      <c r="K52" s="63"/>
      <c r="L52" s="63"/>
      <c r="M52" s="33" t="s">
        <v>84</v>
      </c>
      <c r="N52" s="33"/>
      <c r="O52" s="32" t="s">
        <v>85</v>
      </c>
      <c r="P52" s="32"/>
      <c r="Q52" s="32"/>
      <c r="R52" s="32"/>
      <c r="S52" s="33" t="s">
        <v>16</v>
      </c>
      <c r="T52" s="33"/>
      <c r="U52" s="61" t="n">
        <v>46172</v>
      </c>
      <c r="V52" s="61"/>
      <c r="W52" s="62" t="n">
        <f aca="false">U52-ReportDate</f>
        <v>19</v>
      </c>
      <c r="X52" s="62"/>
    </row>
    <row r="53" customFormat="false" ht="15" hidden="false" customHeight="false" outlineLevel="0" collapsed="false">
      <c r="M53" s="29" t="s">
        <v>86</v>
      </c>
      <c r="N53" s="29"/>
      <c r="O53" s="28" t="s">
        <v>87</v>
      </c>
      <c r="P53" s="28"/>
      <c r="Q53" s="28"/>
      <c r="R53" s="28"/>
      <c r="S53" s="29" t="s">
        <v>15</v>
      </c>
      <c r="T53" s="29"/>
      <c r="U53" s="59" t="n">
        <v>46172</v>
      </c>
      <c r="V53" s="59"/>
      <c r="W53" s="60" t="n">
        <f aca="false">U53-ReportDate</f>
        <v>19</v>
      </c>
      <c r="X53" s="60"/>
    </row>
    <row r="54" customFormat="false" ht="15" hidden="false" customHeight="false" outlineLevel="0" collapsed="false">
      <c r="M54" s="33" t="s">
        <v>88</v>
      </c>
      <c r="N54" s="33"/>
      <c r="O54" s="32" t="s">
        <v>89</v>
      </c>
      <c r="P54" s="32"/>
      <c r="Q54" s="32"/>
      <c r="R54" s="32"/>
      <c r="S54" s="33" t="s">
        <v>25</v>
      </c>
      <c r="T54" s="33"/>
      <c r="U54" s="61" t="n">
        <v>46173</v>
      </c>
      <c r="V54" s="61"/>
      <c r="W54" s="62" t="n">
        <f aca="false">U54-ReportDate</f>
        <v>20</v>
      </c>
      <c r="X54" s="62"/>
    </row>
    <row r="55" customFormat="false" ht="15" hidden="false" customHeight="false" outlineLevel="0" collapsed="false">
      <c r="M55" s="29" t="s">
        <v>90</v>
      </c>
      <c r="N55" s="29"/>
      <c r="O55" s="28" t="s">
        <v>91</v>
      </c>
      <c r="P55" s="28"/>
      <c r="Q55" s="28"/>
      <c r="R55" s="28"/>
      <c r="S55" s="29" t="s">
        <v>21</v>
      </c>
      <c r="T55" s="29"/>
      <c r="U55" s="59" t="n">
        <v>46177</v>
      </c>
      <c r="V55" s="59"/>
      <c r="W55" s="60" t="n">
        <f aca="false">U55-ReportDate</f>
        <v>24</v>
      </c>
      <c r="X55" s="60"/>
    </row>
    <row r="56" customFormat="false" ht="15" hidden="false" customHeight="false" outlineLevel="0" collapsed="false">
      <c r="M56" s="33" t="s">
        <v>92</v>
      </c>
      <c r="N56" s="33"/>
      <c r="O56" s="32" t="s">
        <v>93</v>
      </c>
      <c r="P56" s="32"/>
      <c r="Q56" s="32"/>
      <c r="R56" s="32"/>
      <c r="S56" s="33" t="s">
        <v>22</v>
      </c>
      <c r="T56" s="33"/>
      <c r="U56" s="61" t="n">
        <v>46177</v>
      </c>
      <c r="V56" s="61"/>
      <c r="W56" s="62" t="n">
        <f aca="false">U56-ReportDate</f>
        <v>24</v>
      </c>
      <c r="X56" s="62"/>
    </row>
    <row r="57" customFormat="false" ht="15" hidden="false" customHeight="false" outlineLevel="0" collapsed="false">
      <c r="M57" s="29" t="s">
        <v>94</v>
      </c>
      <c r="N57" s="29"/>
      <c r="O57" s="28" t="s">
        <v>95</v>
      </c>
      <c r="P57" s="28"/>
      <c r="Q57" s="28"/>
      <c r="R57" s="28"/>
      <c r="S57" s="29" t="s">
        <v>23</v>
      </c>
      <c r="T57" s="29"/>
      <c r="U57" s="59" t="n">
        <v>46178</v>
      </c>
      <c r="V57" s="59"/>
      <c r="W57" s="60" t="n">
        <f aca="false">U57-ReportDate</f>
        <v>25</v>
      </c>
      <c r="X57" s="60"/>
    </row>
    <row r="58" customFormat="false" ht="15" hidden="false" customHeight="false" outlineLevel="0" collapsed="false">
      <c r="M58" s="33" t="s">
        <v>96</v>
      </c>
      <c r="N58" s="33"/>
      <c r="O58" s="32" t="s">
        <v>97</v>
      </c>
      <c r="P58" s="32"/>
      <c r="Q58" s="32"/>
      <c r="R58" s="32"/>
      <c r="S58" s="33" t="s">
        <v>20</v>
      </c>
      <c r="T58" s="33"/>
      <c r="U58" s="61" t="n">
        <v>46180</v>
      </c>
      <c r="V58" s="61"/>
      <c r="W58" s="62" t="n">
        <f aca="false">U58-ReportDate</f>
        <v>27</v>
      </c>
      <c r="X58" s="62"/>
    </row>
    <row r="59" customFormat="false" ht="12" hidden="false" customHeight="true" outlineLevel="0" collapsed="false"/>
    <row r="60" customFormat="false" ht="24" hidden="false" customHeight="true" outlineLevel="0" collapsed="false">
      <c r="A60" s="57" t="s">
        <v>98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 t="s">
        <v>99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</row>
    <row r="61" customFormat="false" ht="21.75" hidden="false" customHeight="true" outlineLevel="0" collapsed="false">
      <c r="A61" s="64" t="s">
        <v>100</v>
      </c>
      <c r="B61" s="64"/>
      <c r="C61" s="64"/>
      <c r="D61" s="64"/>
      <c r="E61" s="65" t="s">
        <v>101</v>
      </c>
      <c r="F61" s="65"/>
      <c r="G61" s="65"/>
      <c r="H61" s="65"/>
      <c r="I61" s="66" t="s">
        <v>102</v>
      </c>
      <c r="J61" s="66"/>
      <c r="K61" s="66"/>
      <c r="L61" s="66"/>
      <c r="M61" s="25" t="s">
        <v>103</v>
      </c>
      <c r="N61" s="25"/>
      <c r="O61" s="25" t="s">
        <v>104</v>
      </c>
      <c r="P61" s="25"/>
      <c r="Q61" s="25"/>
      <c r="R61" s="25"/>
      <c r="S61" s="25" t="s">
        <v>105</v>
      </c>
      <c r="T61" s="25"/>
      <c r="U61" s="25"/>
      <c r="V61" s="67" t="s">
        <v>106</v>
      </c>
      <c r="W61" s="25" t="s">
        <v>107</v>
      </c>
      <c r="X61" s="25"/>
    </row>
    <row r="62" customFormat="false" ht="21.75" hidden="false" customHeight="true" outlineLevel="0" collapsed="false">
      <c r="A62" s="68" t="n">
        <f aca="false">COUNTIF(RiskLevels,"High")</f>
        <v>3</v>
      </c>
      <c r="B62" s="68"/>
      <c r="C62" s="68"/>
      <c r="D62" s="68"/>
      <c r="E62" s="69" t="n">
        <f aca="false">COUNTIF(RiskLevels,"Medium")</f>
        <v>7</v>
      </c>
      <c r="F62" s="69"/>
      <c r="G62" s="69"/>
      <c r="H62" s="69"/>
      <c r="I62" s="70" t="n">
        <f aca="false">COUNTIF(RiskLevels,"Low")</f>
        <v>5</v>
      </c>
      <c r="J62" s="70"/>
      <c r="K62" s="70"/>
      <c r="L62" s="70"/>
      <c r="M62" s="71" t="s">
        <v>108</v>
      </c>
      <c r="N62" s="71"/>
      <c r="O62" s="72" t="s">
        <v>109</v>
      </c>
      <c r="P62" s="72"/>
      <c r="Q62" s="72"/>
      <c r="R62" s="72"/>
      <c r="S62" s="72" t="s">
        <v>110</v>
      </c>
      <c r="T62" s="72"/>
      <c r="U62" s="72"/>
      <c r="V62" s="73" t="s">
        <v>111</v>
      </c>
      <c r="W62" s="71" t="s">
        <v>112</v>
      </c>
      <c r="X62" s="71"/>
    </row>
    <row r="63" customFormat="false" ht="21.75" hidden="false" customHeight="true" outlineLevel="0" collapsed="false">
      <c r="A63" s="68"/>
      <c r="B63" s="68"/>
      <c r="C63" s="68"/>
      <c r="D63" s="68"/>
      <c r="E63" s="69"/>
      <c r="F63" s="69"/>
      <c r="G63" s="69"/>
      <c r="H63" s="69"/>
      <c r="I63" s="70"/>
      <c r="J63" s="70"/>
      <c r="K63" s="70"/>
      <c r="L63" s="70"/>
      <c r="M63" s="74" t="s">
        <v>113</v>
      </c>
      <c r="N63" s="74"/>
      <c r="O63" s="75" t="s">
        <v>114</v>
      </c>
      <c r="P63" s="75"/>
      <c r="Q63" s="75"/>
      <c r="R63" s="75"/>
      <c r="S63" s="75" t="s">
        <v>115</v>
      </c>
      <c r="T63" s="75"/>
      <c r="U63" s="75"/>
      <c r="V63" s="76" t="s">
        <v>111</v>
      </c>
      <c r="W63" s="74" t="s">
        <v>116</v>
      </c>
      <c r="X63" s="74"/>
    </row>
    <row r="64" customFormat="false" ht="21.75" hidden="false" customHeight="true" outlineLevel="0" collapsed="false">
      <c r="A64" s="77" t="s">
        <v>117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1" t="s">
        <v>118</v>
      </c>
      <c r="N64" s="71"/>
      <c r="O64" s="72" t="s">
        <v>119</v>
      </c>
      <c r="P64" s="72"/>
      <c r="Q64" s="72"/>
      <c r="R64" s="72"/>
      <c r="S64" s="72" t="s">
        <v>120</v>
      </c>
      <c r="T64" s="72"/>
      <c r="U64" s="72"/>
      <c r="V64" s="73" t="s">
        <v>111</v>
      </c>
      <c r="W64" s="71" t="s">
        <v>116</v>
      </c>
      <c r="X64" s="71"/>
    </row>
    <row r="65" customFormat="false" ht="21.75" hidden="false" customHeight="true" outlineLevel="0" collapsed="false">
      <c r="A65" s="28" t="s">
        <v>112</v>
      </c>
      <c r="B65" s="28"/>
      <c r="C65" s="28"/>
      <c r="D65" s="28"/>
      <c r="E65" s="28"/>
      <c r="F65" s="28"/>
      <c r="G65" s="28"/>
      <c r="H65" s="28"/>
      <c r="I65" s="78" t="n">
        <f aca="false">COUNTIF(RiskStatuses,"Open")</f>
        <v>4</v>
      </c>
      <c r="J65" s="78"/>
      <c r="K65" s="78"/>
      <c r="L65" s="78"/>
      <c r="M65" s="74" t="s">
        <v>121</v>
      </c>
      <c r="N65" s="74"/>
      <c r="O65" s="75" t="s">
        <v>122</v>
      </c>
      <c r="P65" s="75"/>
      <c r="Q65" s="75"/>
      <c r="R65" s="75"/>
      <c r="S65" s="75" t="s">
        <v>120</v>
      </c>
      <c r="T65" s="75"/>
      <c r="U65" s="75"/>
      <c r="V65" s="76" t="s">
        <v>123</v>
      </c>
      <c r="W65" s="74" t="s">
        <v>112</v>
      </c>
      <c r="X65" s="74"/>
    </row>
    <row r="66" customFormat="false" ht="21.75" hidden="false" customHeight="true" outlineLevel="0" collapsed="false">
      <c r="A66" s="32" t="s">
        <v>124</v>
      </c>
      <c r="B66" s="32"/>
      <c r="C66" s="32"/>
      <c r="D66" s="32"/>
      <c r="E66" s="32"/>
      <c r="F66" s="32"/>
      <c r="G66" s="32"/>
      <c r="H66" s="32"/>
      <c r="I66" s="79" t="n">
        <f aca="false">COUNTIF(RiskStatuses,"Under Review")</f>
        <v>4</v>
      </c>
      <c r="J66" s="79"/>
      <c r="K66" s="79"/>
      <c r="L66" s="79"/>
      <c r="M66" s="71" t="s">
        <v>125</v>
      </c>
      <c r="N66" s="71"/>
      <c r="O66" s="72" t="s">
        <v>126</v>
      </c>
      <c r="P66" s="72"/>
      <c r="Q66" s="72"/>
      <c r="R66" s="72"/>
      <c r="S66" s="72" t="s">
        <v>120</v>
      </c>
      <c r="T66" s="72"/>
      <c r="U66" s="72"/>
      <c r="V66" s="73" t="s">
        <v>123</v>
      </c>
      <c r="W66" s="71" t="s">
        <v>124</v>
      </c>
      <c r="X66" s="71"/>
    </row>
    <row r="67" customFormat="false" ht="21.75" hidden="false" customHeight="true" outlineLevel="0" collapsed="false">
      <c r="A67" s="28" t="s">
        <v>116</v>
      </c>
      <c r="B67" s="28"/>
      <c r="C67" s="28"/>
      <c r="D67" s="28"/>
      <c r="E67" s="28"/>
      <c r="F67" s="28"/>
      <c r="G67" s="28"/>
      <c r="H67" s="28"/>
      <c r="I67" s="80" t="n">
        <f aca="false">COUNTIF(RiskStatuses,"Mitigation in Progress")</f>
        <v>7</v>
      </c>
      <c r="J67" s="80"/>
      <c r="K67" s="80"/>
      <c r="L67" s="80"/>
      <c r="M67" s="74" t="s">
        <v>127</v>
      </c>
      <c r="N67" s="74"/>
      <c r="O67" s="75" t="s">
        <v>128</v>
      </c>
      <c r="P67" s="75"/>
      <c r="Q67" s="75"/>
      <c r="R67" s="75"/>
      <c r="S67" s="75" t="s">
        <v>129</v>
      </c>
      <c r="T67" s="75"/>
      <c r="U67" s="75"/>
      <c r="V67" s="76" t="s">
        <v>123</v>
      </c>
      <c r="W67" s="74" t="s">
        <v>124</v>
      </c>
      <c r="X67" s="74"/>
    </row>
    <row r="68" customFormat="false" ht="21.75" hidden="false" customHeight="true" outlineLevel="0" collapsed="false">
      <c r="A68" s="32" t="s">
        <v>130</v>
      </c>
      <c r="B68" s="32"/>
      <c r="C68" s="32"/>
      <c r="D68" s="32"/>
      <c r="E68" s="32"/>
      <c r="F68" s="32"/>
      <c r="G68" s="32"/>
      <c r="H68" s="32"/>
      <c r="I68" s="81" t="n">
        <f aca="false">COUNTIF(RiskStatuses,"Closed")</f>
        <v>0</v>
      </c>
      <c r="J68" s="81"/>
      <c r="K68" s="81"/>
      <c r="L68" s="81"/>
      <c r="M68" s="71" t="s">
        <v>131</v>
      </c>
      <c r="N68" s="71"/>
      <c r="O68" s="72" t="s">
        <v>132</v>
      </c>
      <c r="P68" s="72"/>
      <c r="Q68" s="72"/>
      <c r="R68" s="72"/>
      <c r="S68" s="72" t="s">
        <v>120</v>
      </c>
      <c r="T68" s="72"/>
      <c r="U68" s="72"/>
      <c r="V68" s="73" t="s">
        <v>123</v>
      </c>
      <c r="W68" s="71" t="s">
        <v>124</v>
      </c>
      <c r="X68" s="71"/>
    </row>
    <row r="69" customFormat="false" ht="21.75" hidden="false" customHeight="true" outlineLevel="0" collapsed="false">
      <c r="M69" s="74" t="s">
        <v>133</v>
      </c>
      <c r="N69" s="74"/>
      <c r="O69" s="75" t="s">
        <v>134</v>
      </c>
      <c r="P69" s="75"/>
      <c r="Q69" s="75"/>
      <c r="R69" s="75"/>
      <c r="S69" s="75" t="s">
        <v>135</v>
      </c>
      <c r="T69" s="75"/>
      <c r="U69" s="75"/>
      <c r="V69" s="76" t="s">
        <v>123</v>
      </c>
      <c r="W69" s="74" t="s">
        <v>116</v>
      </c>
      <c r="X69" s="74"/>
    </row>
    <row r="71" customFormat="false" ht="24" hidden="false" customHeight="true" outlineLevel="0" collapsed="false">
      <c r="A71" s="24" t="s">
        <v>136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customFormat="false" ht="13.5" hidden="false" customHeight="true" outlineLevel="0" collapsed="false"/>
    <row r="73" customFormat="false" ht="19.5" hidden="false" customHeight="true" outlineLevel="0" collapsed="false">
      <c r="A73" s="82" t="s">
        <v>137</v>
      </c>
      <c r="B73" s="82"/>
      <c r="C73" s="82"/>
      <c r="D73" s="82"/>
      <c r="E73" s="83" t="s">
        <v>138</v>
      </c>
      <c r="F73" s="83"/>
      <c r="G73" s="83"/>
      <c r="H73" s="83"/>
      <c r="I73" s="84" t="s">
        <v>139</v>
      </c>
      <c r="J73" s="84"/>
      <c r="K73" s="84"/>
      <c r="L73" s="84"/>
      <c r="M73" s="85" t="s">
        <v>140</v>
      </c>
      <c r="N73" s="85"/>
      <c r="O73" s="85"/>
      <c r="P73" s="85"/>
      <c r="Q73" s="86" t="s">
        <v>141</v>
      </c>
      <c r="R73" s="86"/>
      <c r="S73" s="86"/>
      <c r="T73" s="86"/>
      <c r="U73" s="87" t="s">
        <v>142</v>
      </c>
      <c r="V73" s="87"/>
      <c r="W73" s="87"/>
      <c r="X73" s="87"/>
    </row>
    <row r="74" customFormat="false" ht="33.75" hidden="false" customHeight="true" outlineLevel="0" collapsed="false">
      <c r="A74" s="88" t="n">
        <f aca="false">SUMIFS(PayrollGross,PayrollCurrency,"INR")</f>
        <v>13298926</v>
      </c>
      <c r="B74" s="88"/>
      <c r="C74" s="88"/>
      <c r="D74" s="88"/>
      <c r="E74" s="89" t="n">
        <f aca="false">SUMIFS(PayrollCTC,PayrollCurrency,"INR")</f>
        <v>159587124</v>
      </c>
      <c r="F74" s="89"/>
      <c r="G74" s="89"/>
      <c r="H74" s="89"/>
      <c r="I74" s="90" t="n">
        <f aca="false">AVERAGEIFS(PayrollCTC,PayrollCurrency,"INR")</f>
        <v>1970211.40740741</v>
      </c>
      <c r="J74" s="90"/>
      <c r="K74" s="90"/>
      <c r="L74" s="90"/>
      <c r="M74" s="91" t="n">
        <f aca="false">SUMIFS(PayrollGross,PayrollCurrency,"USD")</f>
        <v>423401</v>
      </c>
      <c r="N74" s="91"/>
      <c r="O74" s="91"/>
      <c r="P74" s="91"/>
      <c r="Q74" s="92" t="n">
        <f aca="false">SUMIFS(PayrollCTC,PayrollCurrency,"USD")</f>
        <v>5080823</v>
      </c>
      <c r="R74" s="92"/>
      <c r="S74" s="92"/>
      <c r="T74" s="92"/>
      <c r="U74" s="93" t="n">
        <f aca="false">AVERAGEIFS(PayrollCTC,PayrollCurrency,"USD")</f>
        <v>145166.371428571</v>
      </c>
      <c r="V74" s="93"/>
      <c r="W74" s="93"/>
      <c r="X74" s="93"/>
    </row>
    <row r="75" customFormat="false" ht="15.75" hidden="false" customHeight="true" outlineLevel="0" collapsed="false">
      <c r="A75" s="94" t="s">
        <v>143</v>
      </c>
      <c r="B75" s="94"/>
      <c r="C75" s="94"/>
      <c r="D75" s="94"/>
      <c r="E75" s="94" t="s">
        <v>144</v>
      </c>
      <c r="F75" s="94"/>
      <c r="G75" s="94"/>
      <c r="H75" s="94"/>
      <c r="I75" s="94" t="s">
        <v>145</v>
      </c>
      <c r="J75" s="94"/>
      <c r="K75" s="94"/>
      <c r="L75" s="94"/>
      <c r="M75" s="94" t="s">
        <v>143</v>
      </c>
      <c r="N75" s="94"/>
      <c r="O75" s="94"/>
      <c r="P75" s="94"/>
      <c r="Q75" s="94" t="s">
        <v>144</v>
      </c>
      <c r="R75" s="94"/>
      <c r="S75" s="94"/>
      <c r="T75" s="94"/>
      <c r="U75" s="94" t="s">
        <v>145</v>
      </c>
      <c r="V75" s="94"/>
      <c r="W75" s="94"/>
      <c r="X75" s="94"/>
    </row>
    <row r="77" customFormat="false" ht="24" hidden="false" customHeight="true" outlineLevel="0" collapsed="false">
      <c r="A77" s="24" t="s">
        <v>146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customFormat="false" ht="7.5" hidden="false" customHeight="true" outlineLevel="0" collapsed="false"/>
    <row r="79" customFormat="false" ht="21.75" hidden="false" customHeight="true" outlineLevel="0" collapsed="false">
      <c r="A79" s="64" t="s">
        <v>147</v>
      </c>
      <c r="B79" s="64"/>
      <c r="C79" s="64"/>
      <c r="D79" s="64"/>
      <c r="E79" s="65" t="s">
        <v>148</v>
      </c>
      <c r="F79" s="65"/>
      <c r="G79" s="65"/>
      <c r="H79" s="65"/>
      <c r="I79" s="66" t="s">
        <v>149</v>
      </c>
      <c r="J79" s="66"/>
      <c r="K79" s="66"/>
      <c r="L79" s="66"/>
      <c r="M79" s="95" t="s">
        <v>50</v>
      </c>
      <c r="N79" s="95"/>
      <c r="O79" s="95" t="s">
        <v>51</v>
      </c>
      <c r="P79" s="95"/>
      <c r="Q79" s="95"/>
      <c r="R79" s="95"/>
      <c r="S79" s="95" t="s">
        <v>52</v>
      </c>
      <c r="T79" s="95"/>
      <c r="U79" s="95"/>
      <c r="V79" s="96" t="s">
        <v>150</v>
      </c>
      <c r="W79" s="95" t="s">
        <v>151</v>
      </c>
      <c r="X79" s="95"/>
    </row>
    <row r="80" customFormat="false" ht="18" hidden="false" customHeight="true" outlineLevel="0" collapsed="false">
      <c r="A80" s="97" t="n">
        <f aca="false">COUNTIF(AttritionRiskLevel,"High")</f>
        <v>7</v>
      </c>
      <c r="B80" s="97"/>
      <c r="C80" s="97"/>
      <c r="D80" s="97"/>
      <c r="E80" s="98" t="n">
        <f aca="false">COUNTIF(AttritionRiskLevel,"Medium")</f>
        <v>42</v>
      </c>
      <c r="F80" s="98"/>
      <c r="G80" s="98"/>
      <c r="H80" s="98"/>
      <c r="I80" s="99" t="n">
        <f aca="false">COUNTIF(AttritionRiskLevel,"Low")</f>
        <v>67</v>
      </c>
      <c r="J80" s="99"/>
      <c r="K80" s="99"/>
      <c r="L80" s="99"/>
      <c r="M80" s="100" t="s">
        <v>94</v>
      </c>
      <c r="N80" s="100"/>
      <c r="O80" s="101" t="s">
        <v>95</v>
      </c>
      <c r="P80" s="101"/>
      <c r="Q80" s="101"/>
      <c r="R80" s="101"/>
      <c r="S80" s="101" t="s">
        <v>23</v>
      </c>
      <c r="T80" s="101"/>
      <c r="U80" s="101"/>
      <c r="V80" s="102" t="n">
        <v>73</v>
      </c>
      <c r="W80" s="101" t="s">
        <v>152</v>
      </c>
      <c r="X80" s="101"/>
    </row>
    <row r="81" customFormat="false" ht="18" hidden="false" customHeight="true" outlineLevel="0" collapsed="false">
      <c r="A81" s="103" t="s">
        <v>153</v>
      </c>
      <c r="B81" s="103"/>
      <c r="C81" s="103"/>
      <c r="D81" s="103"/>
      <c r="E81" s="103" t="s">
        <v>154</v>
      </c>
      <c r="F81" s="103"/>
      <c r="G81" s="103"/>
      <c r="H81" s="103"/>
      <c r="I81" s="103" t="s">
        <v>155</v>
      </c>
      <c r="J81" s="103"/>
      <c r="K81" s="103"/>
      <c r="L81" s="103"/>
      <c r="M81" s="104" t="s">
        <v>66</v>
      </c>
      <c r="N81" s="104"/>
      <c r="O81" s="105" t="s">
        <v>67</v>
      </c>
      <c r="P81" s="105"/>
      <c r="Q81" s="105"/>
      <c r="R81" s="105"/>
      <c r="S81" s="105" t="s">
        <v>25</v>
      </c>
      <c r="T81" s="105"/>
      <c r="U81" s="105"/>
      <c r="V81" s="106" t="n">
        <v>73</v>
      </c>
      <c r="W81" s="105" t="s">
        <v>152</v>
      </c>
      <c r="X81" s="105"/>
    </row>
    <row r="82" customFormat="false" ht="18" hidden="false" customHeight="true" outlineLevel="0" collapsed="false">
      <c r="M82" s="100" t="s">
        <v>86</v>
      </c>
      <c r="N82" s="100"/>
      <c r="O82" s="101" t="s">
        <v>87</v>
      </c>
      <c r="P82" s="101"/>
      <c r="Q82" s="101"/>
      <c r="R82" s="101"/>
      <c r="S82" s="101" t="s">
        <v>15</v>
      </c>
      <c r="T82" s="101"/>
      <c r="U82" s="101"/>
      <c r="V82" s="102" t="n">
        <v>73</v>
      </c>
      <c r="W82" s="101" t="s">
        <v>152</v>
      </c>
      <c r="X82" s="101"/>
    </row>
    <row r="83" customFormat="false" ht="18" hidden="false" customHeight="true" outlineLevel="0" collapsed="false">
      <c r="M83" s="104" t="s">
        <v>156</v>
      </c>
      <c r="N83" s="104"/>
      <c r="O83" s="105" t="s">
        <v>157</v>
      </c>
      <c r="P83" s="105"/>
      <c r="Q83" s="105"/>
      <c r="R83" s="105"/>
      <c r="S83" s="105" t="s">
        <v>20</v>
      </c>
      <c r="T83" s="105"/>
      <c r="U83" s="105"/>
      <c r="V83" s="106" t="n">
        <v>73</v>
      </c>
      <c r="W83" s="105" t="s">
        <v>152</v>
      </c>
      <c r="X83" s="105"/>
    </row>
    <row r="84" customFormat="false" ht="18" hidden="false" customHeight="true" outlineLevel="0" collapsed="false">
      <c r="M84" s="100" t="s">
        <v>84</v>
      </c>
      <c r="N84" s="100"/>
      <c r="O84" s="101" t="s">
        <v>85</v>
      </c>
      <c r="P84" s="101"/>
      <c r="Q84" s="101"/>
      <c r="R84" s="101"/>
      <c r="S84" s="101" t="s">
        <v>16</v>
      </c>
      <c r="T84" s="101"/>
      <c r="U84" s="101"/>
      <c r="V84" s="102" t="n">
        <v>68</v>
      </c>
      <c r="W84" s="101" t="s">
        <v>152</v>
      </c>
      <c r="X84" s="101"/>
    </row>
    <row r="85" customFormat="false" ht="18" hidden="false" customHeight="true" outlineLevel="0" collapsed="false">
      <c r="M85" s="104" t="s">
        <v>158</v>
      </c>
      <c r="N85" s="104"/>
      <c r="O85" s="105" t="s">
        <v>128</v>
      </c>
      <c r="P85" s="105"/>
      <c r="Q85" s="105"/>
      <c r="R85" s="105"/>
      <c r="S85" s="105" t="s">
        <v>24</v>
      </c>
      <c r="T85" s="105"/>
      <c r="U85" s="105"/>
      <c r="V85" s="106" t="n">
        <v>68</v>
      </c>
      <c r="W85" s="105" t="s">
        <v>152</v>
      </c>
      <c r="X85" s="105"/>
    </row>
    <row r="86" customFormat="false" ht="18" hidden="false" customHeight="true" outlineLevel="0" collapsed="false">
      <c r="M86" s="100" t="s">
        <v>159</v>
      </c>
      <c r="N86" s="100"/>
      <c r="O86" s="101" t="s">
        <v>160</v>
      </c>
      <c r="P86" s="101"/>
      <c r="Q86" s="101"/>
      <c r="R86" s="101"/>
      <c r="S86" s="101" t="s">
        <v>24</v>
      </c>
      <c r="T86" s="101"/>
      <c r="U86" s="101"/>
      <c r="V86" s="102" t="n">
        <v>68</v>
      </c>
      <c r="W86" s="101" t="s">
        <v>152</v>
      </c>
      <c r="X86" s="101"/>
    </row>
    <row r="87" customFormat="false" ht="18" hidden="false" customHeight="true" outlineLevel="0" collapsed="false">
      <c r="M87" s="104" t="s">
        <v>161</v>
      </c>
      <c r="N87" s="104"/>
      <c r="O87" s="105" t="s">
        <v>162</v>
      </c>
      <c r="P87" s="105"/>
      <c r="Q87" s="105"/>
      <c r="R87" s="105"/>
      <c r="S87" s="105" t="s">
        <v>15</v>
      </c>
      <c r="T87" s="105"/>
      <c r="U87" s="105"/>
      <c r="V87" s="106" t="n">
        <v>63</v>
      </c>
      <c r="W87" s="105" t="s">
        <v>152</v>
      </c>
      <c r="X87" s="105"/>
    </row>
    <row r="88" customFormat="false" ht="18" hidden="false" customHeight="true" outlineLevel="0" collapsed="false">
      <c r="M88" s="100" t="s">
        <v>163</v>
      </c>
      <c r="N88" s="100"/>
      <c r="O88" s="101" t="s">
        <v>164</v>
      </c>
      <c r="P88" s="101"/>
      <c r="Q88" s="101"/>
      <c r="R88" s="101"/>
      <c r="S88" s="101" t="s">
        <v>15</v>
      </c>
      <c r="T88" s="101"/>
      <c r="U88" s="101"/>
      <c r="V88" s="102" t="n">
        <v>63</v>
      </c>
      <c r="W88" s="101" t="s">
        <v>152</v>
      </c>
      <c r="X88" s="101"/>
    </row>
    <row r="89" customFormat="false" ht="18" hidden="false" customHeight="true" outlineLevel="0" collapsed="false">
      <c r="M89" s="104" t="s">
        <v>68</v>
      </c>
      <c r="N89" s="104"/>
      <c r="O89" s="105" t="s">
        <v>69</v>
      </c>
      <c r="P89" s="105"/>
      <c r="Q89" s="105"/>
      <c r="R89" s="105"/>
      <c r="S89" s="105" t="s">
        <v>15</v>
      </c>
      <c r="T89" s="105"/>
      <c r="U89" s="105"/>
      <c r="V89" s="106" t="n">
        <v>63</v>
      </c>
      <c r="W89" s="105" t="s">
        <v>152</v>
      </c>
      <c r="X89" s="105"/>
    </row>
    <row r="91" customFormat="false" ht="24" hidden="false" customHeight="true" outlineLevel="0" collapsed="false">
      <c r="A91" s="24" t="s">
        <v>165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customFormat="false" ht="21.75" hidden="false" customHeight="true" outlineLevel="0" collapsed="false">
      <c r="A92" s="77" t="s">
        <v>166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 t="s">
        <v>167</v>
      </c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</row>
    <row r="93" customFormat="false" ht="25.5" hidden="false" customHeight="true" outlineLevel="0" collapsed="false">
      <c r="A93" s="107" t="s">
        <v>168</v>
      </c>
      <c r="B93" s="107"/>
      <c r="C93" s="107"/>
      <c r="D93" s="108" t="n">
        <f aca="false">COUNTIF(CandidateStages,"Applied")</f>
        <v>31</v>
      </c>
      <c r="E93" s="108"/>
      <c r="F93" s="108"/>
      <c r="G93" s="108"/>
      <c r="H93" s="108"/>
      <c r="I93" s="108"/>
      <c r="J93" s="108"/>
      <c r="K93" s="108"/>
      <c r="L93" s="108"/>
      <c r="M93" s="95" t="s">
        <v>169</v>
      </c>
      <c r="N93" s="95"/>
      <c r="O93" s="95"/>
      <c r="P93" s="95" t="s">
        <v>170</v>
      </c>
      <c r="Q93" s="95"/>
      <c r="R93" s="95"/>
      <c r="S93" s="95" t="s">
        <v>171</v>
      </c>
      <c r="T93" s="95"/>
      <c r="U93" s="95"/>
      <c r="V93" s="95" t="s">
        <v>172</v>
      </c>
      <c r="W93" s="95"/>
      <c r="X93" s="95"/>
    </row>
    <row r="94" customFormat="false" ht="21.75" hidden="false" customHeight="true" outlineLevel="0" collapsed="false">
      <c r="A94" s="107" t="s">
        <v>173</v>
      </c>
      <c r="B94" s="107"/>
      <c r="C94" s="107"/>
      <c r="D94" s="109"/>
      <c r="E94" s="110" t="n">
        <f aca="false">COUNTIF(CandidateStages,"Screened")</f>
        <v>12</v>
      </c>
      <c r="F94" s="110"/>
      <c r="G94" s="110"/>
      <c r="H94" s="110"/>
      <c r="I94" s="110"/>
      <c r="J94" s="110"/>
      <c r="K94" s="110"/>
      <c r="L94" s="109"/>
      <c r="M94" s="111" t="s">
        <v>111</v>
      </c>
      <c r="N94" s="111"/>
      <c r="O94" s="111"/>
      <c r="P94" s="112" t="n">
        <f aca="false">COUNTIF(PositionPriority,"High")</f>
        <v>5</v>
      </c>
      <c r="Q94" s="112"/>
      <c r="R94" s="112"/>
      <c r="S94" s="112" t="n">
        <f aca="false">SUMIF(PositionPriority,"High",INDEX(OpenPositions,0,5))</f>
        <v>12</v>
      </c>
      <c r="T94" s="112"/>
      <c r="U94" s="112"/>
      <c r="V94" s="113" t="n">
        <f aca="false">IFERROR(AVERAGEIF(PositionPriority,"High",INDEX(OpenPositions,0,7)),0)</f>
        <v>14.6</v>
      </c>
      <c r="W94" s="113"/>
      <c r="X94" s="113"/>
    </row>
    <row r="95" customFormat="false" ht="21.75" hidden="false" customHeight="true" outlineLevel="0" collapsed="false">
      <c r="A95" s="107" t="s">
        <v>174</v>
      </c>
      <c r="B95" s="107"/>
      <c r="C95" s="107"/>
      <c r="D95" s="109"/>
      <c r="E95" s="109"/>
      <c r="F95" s="114" t="n">
        <f aca="false">COUNTIF(CandidateStages,"Interviewed")</f>
        <v>15</v>
      </c>
      <c r="G95" s="114"/>
      <c r="H95" s="114"/>
      <c r="I95" s="114"/>
      <c r="J95" s="114"/>
      <c r="K95" s="109"/>
      <c r="L95" s="109"/>
      <c r="M95" s="115" t="s">
        <v>123</v>
      </c>
      <c r="N95" s="115"/>
      <c r="O95" s="115"/>
      <c r="P95" s="112" t="n">
        <f aca="false">COUNTIF(PositionPriority,"Medium")</f>
        <v>5</v>
      </c>
      <c r="Q95" s="112"/>
      <c r="R95" s="112"/>
      <c r="S95" s="112" t="n">
        <f aca="false">SUMIF(PositionPriority,"Medium",INDEX(OpenPositions,0,5))</f>
        <v>6</v>
      </c>
      <c r="T95" s="112"/>
      <c r="U95" s="112"/>
      <c r="V95" s="113" t="n">
        <f aca="false">IFERROR(AVERAGEIF(PositionPriority,"Medium",INDEX(OpenPositions,0,7)),0)</f>
        <v>28.2</v>
      </c>
      <c r="W95" s="113"/>
      <c r="X95" s="113"/>
    </row>
    <row r="96" customFormat="false" ht="21.75" hidden="false" customHeight="true" outlineLevel="0" collapsed="false">
      <c r="A96" s="107" t="s">
        <v>175</v>
      </c>
      <c r="B96" s="107"/>
      <c r="C96" s="107"/>
      <c r="D96" s="109"/>
      <c r="E96" s="109"/>
      <c r="F96" s="109"/>
      <c r="G96" s="116" t="n">
        <f aca="false">COUNTIF(CandidateStages,"Offered")</f>
        <v>8</v>
      </c>
      <c r="H96" s="116"/>
      <c r="I96" s="116"/>
      <c r="J96" s="109"/>
      <c r="K96" s="109"/>
      <c r="L96" s="109"/>
      <c r="M96" s="117" t="s">
        <v>176</v>
      </c>
      <c r="N96" s="117"/>
      <c r="O96" s="117"/>
      <c r="P96" s="112" t="n">
        <f aca="false">COUNTIF(PositionPriority,"Low")</f>
        <v>2</v>
      </c>
      <c r="Q96" s="112"/>
      <c r="R96" s="112"/>
      <c r="S96" s="112" t="n">
        <f aca="false">SUMIF(PositionPriority,"Low",INDEX(OpenPositions,0,5))</f>
        <v>2</v>
      </c>
      <c r="T96" s="112"/>
      <c r="U96" s="112"/>
      <c r="V96" s="113" t="n">
        <f aca="false">IFERROR(AVERAGEIF(PositionPriority,"Low",INDEX(OpenPositions,0,7)),0)</f>
        <v>49</v>
      </c>
      <c r="W96" s="113"/>
      <c r="X96" s="113"/>
    </row>
    <row r="97" customFormat="false" ht="25.5" hidden="false" customHeight="true" outlineLevel="0" collapsed="false">
      <c r="A97" s="107" t="s">
        <v>177</v>
      </c>
      <c r="B97" s="107"/>
      <c r="C97" s="107"/>
      <c r="D97" s="109"/>
      <c r="E97" s="109"/>
      <c r="F97" s="109"/>
      <c r="G97" s="109"/>
      <c r="H97" s="118" t="n">
        <f aca="false">COUNTIF(CandidateStages,"Joined")</f>
        <v>5</v>
      </c>
      <c r="I97" s="109"/>
      <c r="J97" s="109"/>
      <c r="K97" s="109"/>
      <c r="L97" s="109"/>
    </row>
    <row r="99" customFormat="false" ht="24" hidden="false" customHeight="true" outlineLevel="0" collapsed="false">
      <c r="A99" s="24" t="s">
        <v>178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customFormat="false" ht="7.5" hidden="false" customHeight="true" outlineLevel="0" collapsed="false"/>
    <row r="101" customFormat="false" ht="21.75" hidden="false" customHeight="true" outlineLevel="0" collapsed="false">
      <c r="A101" s="119" t="s">
        <v>179</v>
      </c>
      <c r="B101" s="119"/>
      <c r="C101" s="119"/>
      <c r="D101" s="119"/>
      <c r="E101" s="119"/>
      <c r="F101" s="119"/>
      <c r="G101" s="9" t="s">
        <v>180</v>
      </c>
      <c r="H101" s="9"/>
      <c r="I101" s="9"/>
      <c r="J101" s="9"/>
      <c r="K101" s="9"/>
      <c r="L101" s="9"/>
      <c r="M101" s="10" t="s">
        <v>181</v>
      </c>
      <c r="N101" s="10"/>
      <c r="O101" s="10"/>
      <c r="P101" s="10"/>
      <c r="Q101" s="10"/>
      <c r="R101" s="10"/>
      <c r="S101" s="7" t="s">
        <v>182</v>
      </c>
      <c r="T101" s="7"/>
      <c r="U101" s="7"/>
      <c r="V101" s="7"/>
      <c r="W101" s="7"/>
      <c r="X101" s="7"/>
    </row>
    <row r="102" customFormat="false" ht="43.5" hidden="false" customHeight="true" outlineLevel="0" collapsed="false">
      <c r="A102" s="120" t="n">
        <f aca="false">COUNTIF(ComplianceStatus,"Overdue")</f>
        <v>1</v>
      </c>
      <c r="B102" s="120"/>
      <c r="C102" s="120"/>
      <c r="D102" s="120"/>
      <c r="E102" s="120"/>
      <c r="F102" s="120"/>
      <c r="G102" s="121" t="n">
        <f aca="false">COUNTIF(ComplianceStatus,"Critical")</f>
        <v>2</v>
      </c>
      <c r="H102" s="121"/>
      <c r="I102" s="121"/>
      <c r="J102" s="121"/>
      <c r="K102" s="121"/>
      <c r="L102" s="121"/>
      <c r="M102" s="122" t="n">
        <f aca="false">COUNTIF(ComplianceStatus,"Upcoming")</f>
        <v>7</v>
      </c>
      <c r="N102" s="122"/>
      <c r="O102" s="122"/>
      <c r="P102" s="122"/>
      <c r="Q102" s="122"/>
      <c r="R102" s="122"/>
      <c r="S102" s="123" t="n">
        <f aca="false">COUNTIF(ComplianceStatus,"Scheduled")</f>
        <v>8</v>
      </c>
      <c r="T102" s="123"/>
      <c r="U102" s="123"/>
      <c r="V102" s="123"/>
      <c r="W102" s="123"/>
      <c r="X102" s="123"/>
    </row>
    <row r="103" customFormat="false" ht="18" hidden="false" customHeight="true" outlineLevel="0" collapsed="false">
      <c r="A103" s="103" t="s">
        <v>183</v>
      </c>
      <c r="B103" s="103"/>
      <c r="C103" s="103"/>
      <c r="D103" s="103"/>
      <c r="E103" s="103"/>
      <c r="F103" s="103"/>
      <c r="G103" s="103" t="s">
        <v>184</v>
      </c>
      <c r="H103" s="103"/>
      <c r="I103" s="103"/>
      <c r="J103" s="103"/>
      <c r="K103" s="103"/>
      <c r="L103" s="103"/>
      <c r="M103" s="103" t="s">
        <v>185</v>
      </c>
      <c r="N103" s="103"/>
      <c r="O103" s="103"/>
      <c r="P103" s="103"/>
      <c r="Q103" s="103"/>
      <c r="R103" s="103"/>
      <c r="S103" s="103" t="s">
        <v>186</v>
      </c>
      <c r="T103" s="103"/>
      <c r="U103" s="103"/>
      <c r="V103" s="103"/>
      <c r="W103" s="103"/>
      <c r="X103" s="103"/>
    </row>
    <row r="105" customFormat="false" ht="21.75" hidden="false" customHeight="true" outlineLevel="0" collapsed="false">
      <c r="A105" s="77" t="s">
        <v>187</v>
      </c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</row>
    <row r="106" customFormat="false" ht="15" hidden="false" customHeight="false" outlineLevel="0" collapsed="false">
      <c r="A106" s="95" t="s">
        <v>188</v>
      </c>
      <c r="B106" s="95"/>
      <c r="C106" s="95"/>
      <c r="D106" s="95" t="s">
        <v>189</v>
      </c>
      <c r="E106" s="95"/>
      <c r="F106" s="95"/>
      <c r="G106" s="95"/>
      <c r="H106" s="95"/>
      <c r="I106" s="95"/>
      <c r="J106" s="95"/>
      <c r="K106" s="95"/>
      <c r="L106" s="95"/>
      <c r="M106" s="95" t="s">
        <v>105</v>
      </c>
      <c r="N106" s="95"/>
      <c r="O106" s="95"/>
      <c r="P106" s="95"/>
      <c r="Q106" s="95" t="s">
        <v>190</v>
      </c>
      <c r="R106" s="95"/>
      <c r="S106" s="95"/>
      <c r="T106" s="95" t="s">
        <v>191</v>
      </c>
      <c r="U106" s="95"/>
      <c r="V106" s="95" t="s">
        <v>107</v>
      </c>
      <c r="W106" s="95"/>
      <c r="X106" s="95"/>
    </row>
    <row r="107" customFormat="false" ht="19.5" hidden="false" customHeight="true" outlineLevel="0" collapsed="false">
      <c r="A107" s="100" t="s">
        <v>192</v>
      </c>
      <c r="B107" s="100"/>
      <c r="C107" s="100"/>
      <c r="D107" s="101" t="s">
        <v>193</v>
      </c>
      <c r="E107" s="101"/>
      <c r="F107" s="101"/>
      <c r="G107" s="101"/>
      <c r="H107" s="101"/>
      <c r="I107" s="101"/>
      <c r="J107" s="101"/>
      <c r="K107" s="101"/>
      <c r="L107" s="101"/>
      <c r="M107" s="101" t="s">
        <v>194</v>
      </c>
      <c r="N107" s="101"/>
      <c r="O107" s="101"/>
      <c r="P107" s="101"/>
      <c r="Q107" s="124" t="n">
        <v>46149</v>
      </c>
      <c r="R107" s="124"/>
      <c r="S107" s="124"/>
      <c r="T107" s="100" t="n">
        <v>-4</v>
      </c>
      <c r="U107" s="100"/>
      <c r="V107" s="100" t="s">
        <v>195</v>
      </c>
      <c r="W107" s="100"/>
      <c r="X107" s="100"/>
    </row>
    <row r="108" customFormat="false" ht="19.5" hidden="false" customHeight="true" outlineLevel="0" collapsed="false">
      <c r="A108" s="104" t="s">
        <v>196</v>
      </c>
      <c r="B108" s="104"/>
      <c r="C108" s="104"/>
      <c r="D108" s="105" t="s">
        <v>197</v>
      </c>
      <c r="E108" s="105"/>
      <c r="F108" s="105"/>
      <c r="G108" s="105"/>
      <c r="H108" s="105"/>
      <c r="I108" s="105"/>
      <c r="J108" s="105"/>
      <c r="K108" s="105"/>
      <c r="L108" s="105"/>
      <c r="M108" s="105" t="s">
        <v>198</v>
      </c>
      <c r="N108" s="105"/>
      <c r="O108" s="105"/>
      <c r="P108" s="105"/>
      <c r="Q108" s="125" t="n">
        <v>46157</v>
      </c>
      <c r="R108" s="125"/>
      <c r="S108" s="125"/>
      <c r="T108" s="104" t="n">
        <v>4</v>
      </c>
      <c r="U108" s="104"/>
      <c r="V108" s="104" t="s">
        <v>199</v>
      </c>
      <c r="W108" s="104"/>
      <c r="X108" s="104"/>
    </row>
    <row r="109" customFormat="false" ht="19.5" hidden="false" customHeight="true" outlineLevel="0" collapsed="false">
      <c r="A109" s="100" t="s">
        <v>200</v>
      </c>
      <c r="B109" s="100"/>
      <c r="C109" s="100"/>
      <c r="D109" s="101" t="s">
        <v>201</v>
      </c>
      <c r="E109" s="101"/>
      <c r="F109" s="101"/>
      <c r="G109" s="101"/>
      <c r="H109" s="101"/>
      <c r="I109" s="101"/>
      <c r="J109" s="101"/>
      <c r="K109" s="101"/>
      <c r="L109" s="101"/>
      <c r="M109" s="101" t="s">
        <v>202</v>
      </c>
      <c r="N109" s="101"/>
      <c r="O109" s="101"/>
      <c r="P109" s="101"/>
      <c r="Q109" s="124" t="n">
        <v>46157</v>
      </c>
      <c r="R109" s="124"/>
      <c r="S109" s="124"/>
      <c r="T109" s="100" t="n">
        <v>4</v>
      </c>
      <c r="U109" s="100"/>
      <c r="V109" s="100" t="s">
        <v>199</v>
      </c>
      <c r="W109" s="100"/>
      <c r="X109" s="100"/>
    </row>
    <row r="110" customFormat="false" ht="19.5" hidden="false" customHeight="true" outlineLevel="0" collapsed="false">
      <c r="A110" s="104" t="s">
        <v>203</v>
      </c>
      <c r="B110" s="104"/>
      <c r="C110" s="104"/>
      <c r="D110" s="105" t="s">
        <v>204</v>
      </c>
      <c r="E110" s="105"/>
      <c r="F110" s="105"/>
      <c r="G110" s="105"/>
      <c r="H110" s="105"/>
      <c r="I110" s="105"/>
      <c r="J110" s="105"/>
      <c r="K110" s="105"/>
      <c r="L110" s="105"/>
      <c r="M110" s="105" t="s">
        <v>205</v>
      </c>
      <c r="N110" s="105"/>
      <c r="O110" s="105"/>
      <c r="P110" s="105"/>
      <c r="Q110" s="125" t="n">
        <v>46162</v>
      </c>
      <c r="R110" s="125"/>
      <c r="S110" s="125"/>
      <c r="T110" s="104" t="n">
        <v>9</v>
      </c>
      <c r="U110" s="104"/>
      <c r="V110" s="104" t="s">
        <v>206</v>
      </c>
      <c r="W110" s="104"/>
      <c r="X110" s="104"/>
    </row>
    <row r="111" customFormat="false" ht="19.5" hidden="false" customHeight="true" outlineLevel="0" collapsed="false">
      <c r="A111" s="100" t="s">
        <v>207</v>
      </c>
      <c r="B111" s="100"/>
      <c r="C111" s="100"/>
      <c r="D111" s="101" t="s">
        <v>208</v>
      </c>
      <c r="E111" s="101"/>
      <c r="F111" s="101"/>
      <c r="G111" s="101"/>
      <c r="H111" s="101"/>
      <c r="I111" s="101"/>
      <c r="J111" s="101"/>
      <c r="K111" s="101"/>
      <c r="L111" s="101"/>
      <c r="M111" s="101" t="s">
        <v>209</v>
      </c>
      <c r="N111" s="101"/>
      <c r="O111" s="101"/>
      <c r="P111" s="101"/>
      <c r="Q111" s="124" t="n">
        <v>46165</v>
      </c>
      <c r="R111" s="124"/>
      <c r="S111" s="124"/>
      <c r="T111" s="100" t="n">
        <v>12</v>
      </c>
      <c r="U111" s="100"/>
      <c r="V111" s="100" t="s">
        <v>206</v>
      </c>
      <c r="W111" s="100"/>
      <c r="X111" s="100"/>
    </row>
    <row r="112" customFormat="false" ht="19.5" hidden="false" customHeight="true" outlineLevel="0" collapsed="false">
      <c r="A112" s="104" t="s">
        <v>210</v>
      </c>
      <c r="B112" s="104"/>
      <c r="C112" s="104"/>
      <c r="D112" s="105" t="s">
        <v>211</v>
      </c>
      <c r="E112" s="105"/>
      <c r="F112" s="105"/>
      <c r="G112" s="105"/>
      <c r="H112" s="105"/>
      <c r="I112" s="105"/>
      <c r="J112" s="105"/>
      <c r="K112" s="105"/>
      <c r="L112" s="105"/>
      <c r="M112" s="105" t="s">
        <v>212</v>
      </c>
      <c r="N112" s="105"/>
      <c r="O112" s="105"/>
      <c r="P112" s="105"/>
      <c r="Q112" s="125" t="n">
        <v>46168</v>
      </c>
      <c r="R112" s="125"/>
      <c r="S112" s="125"/>
      <c r="T112" s="104" t="n">
        <v>15</v>
      </c>
      <c r="U112" s="104"/>
      <c r="V112" s="104" t="s">
        <v>206</v>
      </c>
      <c r="W112" s="104"/>
      <c r="X112" s="104"/>
    </row>
    <row r="114" customFormat="false" ht="24" hidden="false" customHeight="true" outlineLevel="0" collapsed="false">
      <c r="A114" s="24" t="s">
        <v>213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6" customFormat="false" ht="25.5" hidden="false" customHeight="true" outlineLevel="0" collapsed="false">
      <c r="J116" s="126" t="s">
        <v>214</v>
      </c>
      <c r="K116" s="126"/>
      <c r="L116" s="126"/>
      <c r="M116" s="126"/>
      <c r="N116" s="126"/>
      <c r="O116" s="126"/>
    </row>
    <row r="117" customFormat="false" ht="21.75" hidden="false" customHeight="true" outlineLevel="0" collapsed="false">
      <c r="J117" s="126"/>
      <c r="K117" s="126"/>
      <c r="L117" s="126"/>
      <c r="M117" s="126"/>
      <c r="N117" s="126"/>
      <c r="O117" s="126"/>
    </row>
    <row r="118" customFormat="false" ht="7.5" hidden="false" customHeight="true" outlineLevel="0" collapsed="false">
      <c r="L118" s="127"/>
      <c r="M118" s="127"/>
    </row>
    <row r="119" customFormat="false" ht="21.75" hidden="false" customHeight="true" outlineLevel="0" collapsed="false">
      <c r="A119" s="128" t="s">
        <v>215</v>
      </c>
      <c r="B119" s="128"/>
      <c r="C119" s="128"/>
      <c r="D119" s="128"/>
      <c r="E119" s="128"/>
      <c r="F119" s="128"/>
      <c r="G119" s="129" t="s">
        <v>216</v>
      </c>
      <c r="H119" s="129"/>
      <c r="I119" s="129"/>
      <c r="J119" s="129"/>
      <c r="K119" s="129"/>
      <c r="L119" s="129"/>
      <c r="M119" s="66" t="s">
        <v>217</v>
      </c>
      <c r="N119" s="66"/>
      <c r="O119" s="66"/>
      <c r="P119" s="66"/>
      <c r="Q119" s="66"/>
      <c r="R119" s="66"/>
      <c r="S119" s="130" t="s">
        <v>218</v>
      </c>
      <c r="T119" s="130"/>
      <c r="U119" s="130"/>
      <c r="V119" s="130"/>
      <c r="W119" s="130"/>
      <c r="X119" s="130"/>
    </row>
    <row r="120" customFormat="false" ht="31.5" hidden="false" customHeight="true" outlineLevel="0" collapsed="false">
      <c r="A120" s="131" t="s">
        <v>219</v>
      </c>
      <c r="B120" s="131"/>
      <c r="C120" s="131"/>
      <c r="D120" s="131"/>
      <c r="E120" s="132" t="s">
        <v>220</v>
      </c>
      <c r="F120" s="132"/>
      <c r="G120" s="131" t="s">
        <v>221</v>
      </c>
      <c r="H120" s="131"/>
      <c r="I120" s="131"/>
      <c r="J120" s="131"/>
      <c r="K120" s="133" t="s">
        <v>222</v>
      </c>
      <c r="L120" s="133"/>
      <c r="M120" s="131" t="s">
        <v>223</v>
      </c>
      <c r="N120" s="131"/>
      <c r="O120" s="131"/>
      <c r="P120" s="131"/>
      <c r="Q120" s="134" t="s">
        <v>220</v>
      </c>
      <c r="R120" s="134"/>
      <c r="S120" s="131" t="s">
        <v>224</v>
      </c>
      <c r="T120" s="131"/>
      <c r="U120" s="131"/>
      <c r="V120" s="131"/>
      <c r="W120" s="135" t="s">
        <v>220</v>
      </c>
      <c r="X120" s="135"/>
    </row>
    <row r="121" customFormat="false" ht="31.5" hidden="false" customHeight="true" outlineLevel="0" collapsed="false">
      <c r="A121" s="136" t="s">
        <v>225</v>
      </c>
      <c r="B121" s="136"/>
      <c r="C121" s="136"/>
      <c r="D121" s="136"/>
      <c r="E121" s="137" t="s">
        <v>226</v>
      </c>
      <c r="F121" s="137"/>
      <c r="G121" s="136" t="s">
        <v>227</v>
      </c>
      <c r="H121" s="136"/>
      <c r="I121" s="136"/>
      <c r="J121" s="136"/>
      <c r="K121" s="138" t="s">
        <v>228</v>
      </c>
      <c r="L121" s="138"/>
      <c r="M121" s="136" t="s">
        <v>229</v>
      </c>
      <c r="N121" s="136"/>
      <c r="O121" s="136"/>
      <c r="P121" s="136"/>
      <c r="Q121" s="139" t="s">
        <v>228</v>
      </c>
      <c r="R121" s="139"/>
      <c r="S121" s="136" t="s">
        <v>230</v>
      </c>
      <c r="T121" s="136"/>
      <c r="U121" s="136"/>
      <c r="V121" s="136"/>
      <c r="W121" s="140" t="s">
        <v>228</v>
      </c>
      <c r="X121" s="140"/>
    </row>
    <row r="122" customFormat="false" ht="18" hidden="false" customHeight="true" outlineLevel="0" collapsed="false">
      <c r="A122" s="103" t="s">
        <v>231</v>
      </c>
      <c r="B122" s="103"/>
      <c r="C122" s="103"/>
      <c r="D122" s="103"/>
      <c r="E122" s="103"/>
      <c r="F122" s="103"/>
      <c r="G122" s="103" t="s">
        <v>232</v>
      </c>
      <c r="H122" s="103"/>
      <c r="I122" s="103"/>
      <c r="J122" s="103"/>
      <c r="K122" s="103"/>
      <c r="L122" s="103"/>
      <c r="M122" s="103" t="s">
        <v>233</v>
      </c>
      <c r="N122" s="103"/>
      <c r="O122" s="103"/>
      <c r="P122" s="103"/>
      <c r="Q122" s="103"/>
      <c r="R122" s="103"/>
      <c r="S122" s="103" t="s">
        <v>234</v>
      </c>
      <c r="T122" s="103"/>
      <c r="U122" s="103"/>
      <c r="V122" s="103"/>
      <c r="W122" s="103"/>
      <c r="X122" s="103"/>
    </row>
    <row r="123" customFormat="false" ht="7.5" hidden="false" customHeight="true" outlineLevel="0" collapsed="false"/>
    <row r="126" customFormat="false" ht="21.75" hidden="false" customHeight="true" outlineLevel="0" collapsed="false">
      <c r="A126" s="65" t="s">
        <v>22</v>
      </c>
      <c r="B126" s="65"/>
      <c r="C126" s="65"/>
      <c r="D126" s="65"/>
      <c r="E126" s="65"/>
      <c r="F126" s="65"/>
      <c r="G126" s="141" t="s">
        <v>235</v>
      </c>
      <c r="H126" s="141"/>
      <c r="I126" s="141"/>
      <c r="J126" s="141"/>
      <c r="K126" s="141"/>
      <c r="L126" s="141"/>
      <c r="M126" s="142" t="s">
        <v>236</v>
      </c>
      <c r="N126" s="142"/>
      <c r="O126" s="142"/>
      <c r="P126" s="142"/>
      <c r="Q126" s="142"/>
      <c r="R126" s="142"/>
      <c r="S126" s="143" t="s">
        <v>237</v>
      </c>
      <c r="T126" s="143"/>
      <c r="U126" s="143"/>
      <c r="V126" s="143"/>
      <c r="W126" s="143"/>
      <c r="X126" s="143"/>
    </row>
    <row r="127" customFormat="false" ht="31.5" hidden="false" customHeight="true" outlineLevel="0" collapsed="false">
      <c r="A127" s="131" t="s">
        <v>238</v>
      </c>
      <c r="B127" s="131"/>
      <c r="C127" s="131"/>
      <c r="D127" s="131"/>
      <c r="E127" s="144" t="s">
        <v>220</v>
      </c>
      <c r="F127" s="144"/>
      <c r="G127" s="131" t="s">
        <v>239</v>
      </c>
      <c r="H127" s="131"/>
      <c r="I127" s="131"/>
      <c r="J127" s="131"/>
      <c r="K127" s="145" t="s">
        <v>228</v>
      </c>
      <c r="L127" s="145"/>
      <c r="M127" s="131" t="s">
        <v>240</v>
      </c>
      <c r="N127" s="131"/>
      <c r="O127" s="131"/>
      <c r="P127" s="131"/>
      <c r="Q127" s="146" t="s">
        <v>220</v>
      </c>
      <c r="R127" s="146"/>
      <c r="S127" s="131" t="s">
        <v>241</v>
      </c>
      <c r="T127" s="131"/>
      <c r="U127" s="131"/>
      <c r="V127" s="131"/>
      <c r="W127" s="147" t="s">
        <v>228</v>
      </c>
      <c r="X127" s="147"/>
    </row>
    <row r="128" customFormat="false" ht="31.5" hidden="false" customHeight="true" outlineLevel="0" collapsed="false">
      <c r="A128" s="136" t="s">
        <v>242</v>
      </c>
      <c r="B128" s="136"/>
      <c r="C128" s="136"/>
      <c r="D128" s="136"/>
      <c r="E128" s="148" t="s">
        <v>226</v>
      </c>
      <c r="F128" s="148"/>
      <c r="G128" s="136" t="s">
        <v>243</v>
      </c>
      <c r="H128" s="136"/>
      <c r="I128" s="136"/>
      <c r="J128" s="136"/>
      <c r="K128" s="149" t="s">
        <v>228</v>
      </c>
      <c r="L128" s="149"/>
      <c r="M128" s="136" t="s">
        <v>244</v>
      </c>
      <c r="N128" s="136"/>
      <c r="O128" s="136"/>
      <c r="P128" s="136"/>
      <c r="Q128" s="150"/>
      <c r="R128" s="150"/>
      <c r="S128" s="136" t="s">
        <v>244</v>
      </c>
      <c r="T128" s="136"/>
      <c r="U128" s="136"/>
      <c r="V128" s="136"/>
      <c r="W128" s="151"/>
      <c r="X128" s="151"/>
    </row>
    <row r="129" customFormat="false" ht="18" hidden="false" customHeight="true" outlineLevel="0" collapsed="false">
      <c r="A129" s="103" t="s">
        <v>234</v>
      </c>
      <c r="B129" s="103"/>
      <c r="C129" s="103"/>
      <c r="D129" s="103"/>
      <c r="E129" s="103"/>
      <c r="F129" s="103"/>
      <c r="G129" s="103" t="s">
        <v>245</v>
      </c>
      <c r="H129" s="103"/>
      <c r="I129" s="103"/>
      <c r="J129" s="103"/>
      <c r="K129" s="103"/>
      <c r="L129" s="103"/>
      <c r="M129" s="103" t="s">
        <v>246</v>
      </c>
      <c r="N129" s="103"/>
      <c r="O129" s="103"/>
      <c r="P129" s="103"/>
      <c r="Q129" s="103"/>
      <c r="R129" s="103"/>
      <c r="S129" s="103" t="s">
        <v>247</v>
      </c>
      <c r="T129" s="103"/>
      <c r="U129" s="103"/>
      <c r="V129" s="103"/>
      <c r="W129" s="103"/>
      <c r="X129" s="103"/>
    </row>
    <row r="130" customFormat="false" ht="7.5" hidden="false" customHeight="true" outlineLevel="0" collapsed="false"/>
    <row r="134" customFormat="false" ht="24" hidden="false" customHeight="true" outlineLevel="0" collapsed="false">
      <c r="A134" s="24" t="s">
        <v>248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6" customFormat="false" ht="31.5" hidden="false" customHeight="true" outlineLevel="0" collapsed="false">
      <c r="A136" s="152" t="s">
        <v>249</v>
      </c>
      <c r="B136" s="152"/>
      <c r="C136" s="152"/>
      <c r="D136" s="152"/>
      <c r="E136" s="152"/>
      <c r="F136" s="152"/>
      <c r="G136" s="153" t="s">
        <v>250</v>
      </c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</row>
    <row r="137" customFormat="false" ht="31.5" hidden="false" customHeight="true" outlineLevel="0" collapsed="false">
      <c r="A137" s="154" t="s">
        <v>251</v>
      </c>
      <c r="B137" s="154"/>
      <c r="C137" s="154"/>
      <c r="D137" s="154"/>
      <c r="E137" s="154"/>
      <c r="F137" s="154"/>
      <c r="G137" s="155" t="s">
        <v>252</v>
      </c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</row>
    <row r="138" customFormat="false" ht="31.5" hidden="false" customHeight="true" outlineLevel="0" collapsed="false">
      <c r="A138" s="152" t="s">
        <v>253</v>
      </c>
      <c r="B138" s="152"/>
      <c r="C138" s="152"/>
      <c r="D138" s="152"/>
      <c r="E138" s="152"/>
      <c r="F138" s="152"/>
      <c r="G138" s="153" t="s">
        <v>254</v>
      </c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</row>
    <row r="139" customFormat="false" ht="31.5" hidden="false" customHeight="true" outlineLevel="0" collapsed="false">
      <c r="A139" s="154" t="s">
        <v>255</v>
      </c>
      <c r="B139" s="154"/>
      <c r="C139" s="154"/>
      <c r="D139" s="154"/>
      <c r="E139" s="154"/>
      <c r="F139" s="154"/>
      <c r="G139" s="155" t="s">
        <v>256</v>
      </c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</row>
    <row r="140" customFormat="false" ht="31.5" hidden="false" customHeight="true" outlineLevel="0" collapsed="false">
      <c r="A140" s="152" t="s">
        <v>257</v>
      </c>
      <c r="B140" s="152"/>
      <c r="C140" s="152"/>
      <c r="D140" s="152"/>
      <c r="E140" s="152"/>
      <c r="F140" s="152"/>
      <c r="G140" s="153" t="s">
        <v>258</v>
      </c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</row>
    <row r="141" customFormat="false" ht="31.5" hidden="false" customHeight="true" outlineLevel="0" collapsed="false">
      <c r="A141" s="154" t="s">
        <v>259</v>
      </c>
      <c r="B141" s="154"/>
      <c r="C141" s="154"/>
      <c r="D141" s="154"/>
      <c r="E141" s="154"/>
      <c r="F141" s="154"/>
      <c r="G141" s="155" t="s">
        <v>260</v>
      </c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</row>
    <row r="142" customFormat="false" ht="31.5" hidden="false" customHeight="true" outlineLevel="0" collapsed="false">
      <c r="A142" s="152" t="s">
        <v>261</v>
      </c>
      <c r="B142" s="152"/>
      <c r="C142" s="152"/>
      <c r="D142" s="152"/>
      <c r="E142" s="152"/>
      <c r="F142" s="152"/>
      <c r="G142" s="153" t="s">
        <v>262</v>
      </c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</row>
    <row r="143" customFormat="false" ht="31.5" hidden="false" customHeight="true" outlineLevel="0" collapsed="false">
      <c r="A143" s="154" t="s">
        <v>263</v>
      </c>
      <c r="B143" s="154"/>
      <c r="C143" s="154"/>
      <c r="D143" s="154"/>
      <c r="E143" s="154"/>
      <c r="F143" s="154"/>
      <c r="G143" s="155" t="s">
        <v>264</v>
      </c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</row>
    <row r="144" customFormat="false" ht="31.5" hidden="false" customHeight="true" outlineLevel="0" collapsed="false">
      <c r="A144" s="152" t="s">
        <v>265</v>
      </c>
      <c r="B144" s="152"/>
      <c r="C144" s="152"/>
      <c r="D144" s="152"/>
      <c r="E144" s="152"/>
      <c r="F144" s="152"/>
      <c r="G144" s="153" t="s">
        <v>266</v>
      </c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</row>
    <row r="145" customFormat="false" ht="31.5" hidden="false" customHeight="true" outlineLevel="0" collapsed="false">
      <c r="A145" s="154" t="s">
        <v>267</v>
      </c>
      <c r="B145" s="154"/>
      <c r="C145" s="154"/>
      <c r="D145" s="154"/>
      <c r="E145" s="154"/>
      <c r="F145" s="154"/>
      <c r="G145" s="155" t="s">
        <v>268</v>
      </c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</row>
    <row r="148" customFormat="false" ht="21.75" hidden="false" customHeight="true" outlineLevel="0" collapsed="false">
      <c r="A148" s="18" t="s">
        <v>269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</sheetData>
  <mergeCells count="545">
    <mergeCell ref="A1:X1"/>
    <mergeCell ref="A2:X2"/>
    <mergeCell ref="A3:H3"/>
    <mergeCell ref="I3:P3"/>
    <mergeCell ref="Q3:X3"/>
    <mergeCell ref="A5:D5"/>
    <mergeCell ref="E5:H5"/>
    <mergeCell ref="I5:L5"/>
    <mergeCell ref="M5:P5"/>
    <mergeCell ref="Q5:T5"/>
    <mergeCell ref="U5:X5"/>
    <mergeCell ref="A6:D7"/>
    <mergeCell ref="E6:H7"/>
    <mergeCell ref="I6:L7"/>
    <mergeCell ref="M6:P7"/>
    <mergeCell ref="Q6:T7"/>
    <mergeCell ref="U6:X7"/>
    <mergeCell ref="A8:D8"/>
    <mergeCell ref="E8:H8"/>
    <mergeCell ref="I8:L8"/>
    <mergeCell ref="M8:P8"/>
    <mergeCell ref="Q8:T8"/>
    <mergeCell ref="U8:X8"/>
    <mergeCell ref="A10:L10"/>
    <mergeCell ref="M10:X10"/>
    <mergeCell ref="A11:C11"/>
    <mergeCell ref="D11:E11"/>
    <mergeCell ref="F11:G11"/>
    <mergeCell ref="H11:I11"/>
    <mergeCell ref="J11:L11"/>
    <mergeCell ref="M11:R12"/>
    <mergeCell ref="S11:X12"/>
    <mergeCell ref="A12:C12"/>
    <mergeCell ref="D12:E12"/>
    <mergeCell ref="F12:G12"/>
    <mergeCell ref="H12:I12"/>
    <mergeCell ref="J12:L12"/>
    <mergeCell ref="A13:C13"/>
    <mergeCell ref="D13:E13"/>
    <mergeCell ref="F13:G13"/>
    <mergeCell ref="H13:I13"/>
    <mergeCell ref="J13:L13"/>
    <mergeCell ref="M13:N13"/>
    <mergeCell ref="O13:P13"/>
    <mergeCell ref="Q13:R13"/>
    <mergeCell ref="S13:T13"/>
    <mergeCell ref="U13:V13"/>
    <mergeCell ref="W13:X13"/>
    <mergeCell ref="A14:C14"/>
    <mergeCell ref="D14:E14"/>
    <mergeCell ref="F14:G14"/>
    <mergeCell ref="H14:I14"/>
    <mergeCell ref="J14:L14"/>
    <mergeCell ref="M14:N14"/>
    <mergeCell ref="O14:P14"/>
    <mergeCell ref="Q14:R14"/>
    <mergeCell ref="S14:T14"/>
    <mergeCell ref="U14:V14"/>
    <mergeCell ref="W14:X14"/>
    <mergeCell ref="A15:C15"/>
    <mergeCell ref="D15:E15"/>
    <mergeCell ref="F15:G15"/>
    <mergeCell ref="H15:I15"/>
    <mergeCell ref="J15:L15"/>
    <mergeCell ref="A16:C16"/>
    <mergeCell ref="D16:E16"/>
    <mergeCell ref="F16:G16"/>
    <mergeCell ref="H16:I16"/>
    <mergeCell ref="J16:L16"/>
    <mergeCell ref="A17:C17"/>
    <mergeCell ref="D17:E17"/>
    <mergeCell ref="F17:G17"/>
    <mergeCell ref="H17:I17"/>
    <mergeCell ref="J17:L17"/>
    <mergeCell ref="A18:C18"/>
    <mergeCell ref="D18:E18"/>
    <mergeCell ref="F18:G18"/>
    <mergeCell ref="H18:I18"/>
    <mergeCell ref="J18:L18"/>
    <mergeCell ref="A19:C19"/>
    <mergeCell ref="D19:E19"/>
    <mergeCell ref="F19:G19"/>
    <mergeCell ref="H19:I19"/>
    <mergeCell ref="J19:L19"/>
    <mergeCell ref="A20:C20"/>
    <mergeCell ref="D20:E20"/>
    <mergeCell ref="F20:G20"/>
    <mergeCell ref="H20:I20"/>
    <mergeCell ref="J20:L20"/>
    <mergeCell ref="A21:L21"/>
    <mergeCell ref="M21:X21"/>
    <mergeCell ref="A22:C22"/>
    <mergeCell ref="D22:E22"/>
    <mergeCell ref="F22:G22"/>
    <mergeCell ref="H22:I22"/>
    <mergeCell ref="J22:L22"/>
    <mergeCell ref="M22:R22"/>
    <mergeCell ref="S22:X22"/>
    <mergeCell ref="A23:C23"/>
    <mergeCell ref="D23:E23"/>
    <mergeCell ref="F23:G23"/>
    <mergeCell ref="H23:I23"/>
    <mergeCell ref="J23:L23"/>
    <mergeCell ref="M23:R23"/>
    <mergeCell ref="S23:X23"/>
    <mergeCell ref="A24:C24"/>
    <mergeCell ref="D24:E24"/>
    <mergeCell ref="F24:G24"/>
    <mergeCell ref="H24:I24"/>
    <mergeCell ref="J24:L24"/>
    <mergeCell ref="M24:R24"/>
    <mergeCell ref="S24:X24"/>
    <mergeCell ref="A25:C25"/>
    <mergeCell ref="D25:E25"/>
    <mergeCell ref="F25:G25"/>
    <mergeCell ref="H25:I25"/>
    <mergeCell ref="J25:L25"/>
    <mergeCell ref="M25:R25"/>
    <mergeCell ref="S25:X25"/>
    <mergeCell ref="A26:C26"/>
    <mergeCell ref="D26:E26"/>
    <mergeCell ref="F26:G26"/>
    <mergeCell ref="H26:I26"/>
    <mergeCell ref="J26:L26"/>
    <mergeCell ref="M26:R26"/>
    <mergeCell ref="S26:X26"/>
    <mergeCell ref="A27:C27"/>
    <mergeCell ref="D27:E27"/>
    <mergeCell ref="F27:G27"/>
    <mergeCell ref="H27:I27"/>
    <mergeCell ref="J27:L27"/>
    <mergeCell ref="M27:R27"/>
    <mergeCell ref="S27:X27"/>
    <mergeCell ref="M28:X28"/>
    <mergeCell ref="M29:R29"/>
    <mergeCell ref="S29:X29"/>
    <mergeCell ref="M30:R30"/>
    <mergeCell ref="S30:X30"/>
    <mergeCell ref="M31:R31"/>
    <mergeCell ref="S31:X31"/>
    <mergeCell ref="A43:L43"/>
    <mergeCell ref="M43:X43"/>
    <mergeCell ref="A44:B44"/>
    <mergeCell ref="C44:F44"/>
    <mergeCell ref="G44:H44"/>
    <mergeCell ref="I44:J44"/>
    <mergeCell ref="K44:L44"/>
    <mergeCell ref="M44:N44"/>
    <mergeCell ref="O44:R44"/>
    <mergeCell ref="S44:T44"/>
    <mergeCell ref="U44:V44"/>
    <mergeCell ref="W44:X44"/>
    <mergeCell ref="A45:B45"/>
    <mergeCell ref="C45:F45"/>
    <mergeCell ref="G45:H45"/>
    <mergeCell ref="I45:J45"/>
    <mergeCell ref="K45:L45"/>
    <mergeCell ref="M45:N45"/>
    <mergeCell ref="O45:R45"/>
    <mergeCell ref="S45:T45"/>
    <mergeCell ref="U45:V45"/>
    <mergeCell ref="W45:X45"/>
    <mergeCell ref="A46:B46"/>
    <mergeCell ref="C46:F46"/>
    <mergeCell ref="G46:H46"/>
    <mergeCell ref="I46:J46"/>
    <mergeCell ref="K46:L46"/>
    <mergeCell ref="M46:N46"/>
    <mergeCell ref="O46:R46"/>
    <mergeCell ref="S46:T46"/>
    <mergeCell ref="U46:V46"/>
    <mergeCell ref="W46:X46"/>
    <mergeCell ref="A47:B47"/>
    <mergeCell ref="C47:F47"/>
    <mergeCell ref="G47:H47"/>
    <mergeCell ref="I47:J47"/>
    <mergeCell ref="K47:L47"/>
    <mergeCell ref="M47:N47"/>
    <mergeCell ref="O47:R47"/>
    <mergeCell ref="S47:T47"/>
    <mergeCell ref="U47:V47"/>
    <mergeCell ref="W47:X47"/>
    <mergeCell ref="A48:B48"/>
    <mergeCell ref="C48:F48"/>
    <mergeCell ref="G48:H48"/>
    <mergeCell ref="I48:J48"/>
    <mergeCell ref="K48:L48"/>
    <mergeCell ref="M48:N48"/>
    <mergeCell ref="O48:R48"/>
    <mergeCell ref="S48:T48"/>
    <mergeCell ref="U48:V48"/>
    <mergeCell ref="W48:X48"/>
    <mergeCell ref="A49:B49"/>
    <mergeCell ref="C49:F49"/>
    <mergeCell ref="G49:H49"/>
    <mergeCell ref="I49:J49"/>
    <mergeCell ref="K49:L49"/>
    <mergeCell ref="M49:N49"/>
    <mergeCell ref="O49:R49"/>
    <mergeCell ref="S49:T49"/>
    <mergeCell ref="U49:V49"/>
    <mergeCell ref="W49:X49"/>
    <mergeCell ref="A50:B50"/>
    <mergeCell ref="C50:F50"/>
    <mergeCell ref="G50:H50"/>
    <mergeCell ref="I50:J50"/>
    <mergeCell ref="K50:L50"/>
    <mergeCell ref="M50:N50"/>
    <mergeCell ref="O50:R50"/>
    <mergeCell ref="S50:T50"/>
    <mergeCell ref="U50:V50"/>
    <mergeCell ref="W50:X50"/>
    <mergeCell ref="A51:B51"/>
    <mergeCell ref="C51:F51"/>
    <mergeCell ref="G51:H51"/>
    <mergeCell ref="I51:J51"/>
    <mergeCell ref="K51:L51"/>
    <mergeCell ref="M51:N51"/>
    <mergeCell ref="O51:R51"/>
    <mergeCell ref="S51:T51"/>
    <mergeCell ref="U51:V51"/>
    <mergeCell ref="W51:X51"/>
    <mergeCell ref="A52:B52"/>
    <mergeCell ref="C52:F52"/>
    <mergeCell ref="G52:H52"/>
    <mergeCell ref="I52:J52"/>
    <mergeCell ref="K52:L52"/>
    <mergeCell ref="M52:N52"/>
    <mergeCell ref="O52:R52"/>
    <mergeCell ref="S52:T52"/>
    <mergeCell ref="U52:V52"/>
    <mergeCell ref="W52:X52"/>
    <mergeCell ref="M53:N53"/>
    <mergeCell ref="O53:R53"/>
    <mergeCell ref="S53:T53"/>
    <mergeCell ref="U53:V53"/>
    <mergeCell ref="W53:X53"/>
    <mergeCell ref="M54:N54"/>
    <mergeCell ref="O54:R54"/>
    <mergeCell ref="S54:T54"/>
    <mergeCell ref="U54:V54"/>
    <mergeCell ref="W54:X54"/>
    <mergeCell ref="M55:N55"/>
    <mergeCell ref="O55:R55"/>
    <mergeCell ref="S55:T55"/>
    <mergeCell ref="U55:V55"/>
    <mergeCell ref="W55:X55"/>
    <mergeCell ref="M56:N56"/>
    <mergeCell ref="O56:R56"/>
    <mergeCell ref="S56:T56"/>
    <mergeCell ref="U56:V56"/>
    <mergeCell ref="W56:X56"/>
    <mergeCell ref="M57:N57"/>
    <mergeCell ref="O57:R57"/>
    <mergeCell ref="S57:T57"/>
    <mergeCell ref="U57:V57"/>
    <mergeCell ref="W57:X57"/>
    <mergeCell ref="M58:N58"/>
    <mergeCell ref="O58:R58"/>
    <mergeCell ref="S58:T58"/>
    <mergeCell ref="U58:V58"/>
    <mergeCell ref="W58:X58"/>
    <mergeCell ref="A60:L60"/>
    <mergeCell ref="M60:X60"/>
    <mergeCell ref="A61:D61"/>
    <mergeCell ref="E61:H61"/>
    <mergeCell ref="I61:L61"/>
    <mergeCell ref="M61:N61"/>
    <mergeCell ref="O61:R61"/>
    <mergeCell ref="S61:U61"/>
    <mergeCell ref="W61:X61"/>
    <mergeCell ref="A62:D63"/>
    <mergeCell ref="E62:H63"/>
    <mergeCell ref="I62:L63"/>
    <mergeCell ref="M62:N62"/>
    <mergeCell ref="O62:R62"/>
    <mergeCell ref="S62:U62"/>
    <mergeCell ref="W62:X62"/>
    <mergeCell ref="M63:N63"/>
    <mergeCell ref="O63:R63"/>
    <mergeCell ref="S63:U63"/>
    <mergeCell ref="W63:X63"/>
    <mergeCell ref="A64:L64"/>
    <mergeCell ref="M64:N64"/>
    <mergeCell ref="O64:R64"/>
    <mergeCell ref="S64:U64"/>
    <mergeCell ref="W64:X64"/>
    <mergeCell ref="A65:H65"/>
    <mergeCell ref="I65:L65"/>
    <mergeCell ref="M65:N65"/>
    <mergeCell ref="O65:R65"/>
    <mergeCell ref="S65:U65"/>
    <mergeCell ref="W65:X65"/>
    <mergeCell ref="A66:H66"/>
    <mergeCell ref="I66:L66"/>
    <mergeCell ref="M66:N66"/>
    <mergeCell ref="O66:R66"/>
    <mergeCell ref="S66:U66"/>
    <mergeCell ref="W66:X66"/>
    <mergeCell ref="A67:H67"/>
    <mergeCell ref="I67:L67"/>
    <mergeCell ref="M67:N67"/>
    <mergeCell ref="O67:R67"/>
    <mergeCell ref="S67:U67"/>
    <mergeCell ref="W67:X67"/>
    <mergeCell ref="A68:H68"/>
    <mergeCell ref="I68:L68"/>
    <mergeCell ref="M68:N68"/>
    <mergeCell ref="O68:R68"/>
    <mergeCell ref="S68:U68"/>
    <mergeCell ref="W68:X68"/>
    <mergeCell ref="M69:N69"/>
    <mergeCell ref="O69:R69"/>
    <mergeCell ref="S69:U69"/>
    <mergeCell ref="W69:X69"/>
    <mergeCell ref="A71:X71"/>
    <mergeCell ref="A73:D73"/>
    <mergeCell ref="E73:H73"/>
    <mergeCell ref="I73:L73"/>
    <mergeCell ref="M73:P73"/>
    <mergeCell ref="Q73:T73"/>
    <mergeCell ref="U73:X73"/>
    <mergeCell ref="A74:D74"/>
    <mergeCell ref="E74:H74"/>
    <mergeCell ref="I74:L74"/>
    <mergeCell ref="M74:P74"/>
    <mergeCell ref="Q74:T74"/>
    <mergeCell ref="U74:X74"/>
    <mergeCell ref="A75:D75"/>
    <mergeCell ref="E75:H75"/>
    <mergeCell ref="I75:L75"/>
    <mergeCell ref="M75:P75"/>
    <mergeCell ref="Q75:T75"/>
    <mergeCell ref="U75:X75"/>
    <mergeCell ref="A77:X77"/>
    <mergeCell ref="A79:D79"/>
    <mergeCell ref="E79:H79"/>
    <mergeCell ref="I79:L79"/>
    <mergeCell ref="M79:N79"/>
    <mergeCell ref="O79:R79"/>
    <mergeCell ref="S79:U79"/>
    <mergeCell ref="W79:X79"/>
    <mergeCell ref="A80:D80"/>
    <mergeCell ref="E80:H80"/>
    <mergeCell ref="I80:L80"/>
    <mergeCell ref="M80:N80"/>
    <mergeCell ref="O80:R80"/>
    <mergeCell ref="S80:U80"/>
    <mergeCell ref="W80:X80"/>
    <mergeCell ref="A81:D81"/>
    <mergeCell ref="E81:H81"/>
    <mergeCell ref="I81:L81"/>
    <mergeCell ref="M81:N81"/>
    <mergeCell ref="O81:R81"/>
    <mergeCell ref="S81:U81"/>
    <mergeCell ref="W81:X81"/>
    <mergeCell ref="M82:N82"/>
    <mergeCell ref="O82:R82"/>
    <mergeCell ref="S82:U82"/>
    <mergeCell ref="W82:X82"/>
    <mergeCell ref="M83:N83"/>
    <mergeCell ref="O83:R83"/>
    <mergeCell ref="S83:U83"/>
    <mergeCell ref="W83:X83"/>
    <mergeCell ref="M84:N84"/>
    <mergeCell ref="O84:R84"/>
    <mergeCell ref="S84:U84"/>
    <mergeCell ref="W84:X84"/>
    <mergeCell ref="M85:N85"/>
    <mergeCell ref="O85:R85"/>
    <mergeCell ref="S85:U85"/>
    <mergeCell ref="W85:X85"/>
    <mergeCell ref="M86:N86"/>
    <mergeCell ref="O86:R86"/>
    <mergeCell ref="S86:U86"/>
    <mergeCell ref="W86:X86"/>
    <mergeCell ref="M87:N87"/>
    <mergeCell ref="O87:R87"/>
    <mergeCell ref="S87:U87"/>
    <mergeCell ref="W87:X87"/>
    <mergeCell ref="M88:N88"/>
    <mergeCell ref="O88:R88"/>
    <mergeCell ref="S88:U88"/>
    <mergeCell ref="W88:X88"/>
    <mergeCell ref="M89:N89"/>
    <mergeCell ref="O89:R89"/>
    <mergeCell ref="S89:U89"/>
    <mergeCell ref="W89:X89"/>
    <mergeCell ref="A91:X91"/>
    <mergeCell ref="A92:L92"/>
    <mergeCell ref="M92:X92"/>
    <mergeCell ref="A93:C93"/>
    <mergeCell ref="D93:L93"/>
    <mergeCell ref="M93:O93"/>
    <mergeCell ref="P93:R93"/>
    <mergeCell ref="S93:U93"/>
    <mergeCell ref="V93:X93"/>
    <mergeCell ref="A94:C94"/>
    <mergeCell ref="E94:K94"/>
    <mergeCell ref="M94:O94"/>
    <mergeCell ref="P94:R94"/>
    <mergeCell ref="S94:U94"/>
    <mergeCell ref="V94:X94"/>
    <mergeCell ref="A95:C95"/>
    <mergeCell ref="F95:J95"/>
    <mergeCell ref="M95:O95"/>
    <mergeCell ref="P95:R95"/>
    <mergeCell ref="S95:U95"/>
    <mergeCell ref="V95:X95"/>
    <mergeCell ref="A96:C96"/>
    <mergeCell ref="G96:I96"/>
    <mergeCell ref="M96:O96"/>
    <mergeCell ref="P96:R96"/>
    <mergeCell ref="S96:U96"/>
    <mergeCell ref="V96:X96"/>
    <mergeCell ref="A97:C97"/>
    <mergeCell ref="A99:X99"/>
    <mergeCell ref="A101:F101"/>
    <mergeCell ref="G101:L101"/>
    <mergeCell ref="M101:R101"/>
    <mergeCell ref="S101:X101"/>
    <mergeCell ref="A102:F102"/>
    <mergeCell ref="G102:L102"/>
    <mergeCell ref="M102:R102"/>
    <mergeCell ref="S102:X102"/>
    <mergeCell ref="A103:F103"/>
    <mergeCell ref="G103:L103"/>
    <mergeCell ref="M103:R103"/>
    <mergeCell ref="S103:X103"/>
    <mergeCell ref="A105:X105"/>
    <mergeCell ref="A106:C106"/>
    <mergeCell ref="D106:L106"/>
    <mergeCell ref="M106:P106"/>
    <mergeCell ref="Q106:S106"/>
    <mergeCell ref="T106:U106"/>
    <mergeCell ref="V106:X106"/>
    <mergeCell ref="A107:C107"/>
    <mergeCell ref="D107:L107"/>
    <mergeCell ref="M107:P107"/>
    <mergeCell ref="Q107:S107"/>
    <mergeCell ref="T107:U107"/>
    <mergeCell ref="V107:X107"/>
    <mergeCell ref="A108:C108"/>
    <mergeCell ref="D108:L108"/>
    <mergeCell ref="M108:P108"/>
    <mergeCell ref="Q108:S108"/>
    <mergeCell ref="T108:U108"/>
    <mergeCell ref="V108:X108"/>
    <mergeCell ref="A109:C109"/>
    <mergeCell ref="D109:L109"/>
    <mergeCell ref="M109:P109"/>
    <mergeCell ref="Q109:S109"/>
    <mergeCell ref="T109:U109"/>
    <mergeCell ref="V109:X109"/>
    <mergeCell ref="A110:C110"/>
    <mergeCell ref="D110:L110"/>
    <mergeCell ref="M110:P110"/>
    <mergeCell ref="Q110:S110"/>
    <mergeCell ref="T110:U110"/>
    <mergeCell ref="V110:X110"/>
    <mergeCell ref="A111:C111"/>
    <mergeCell ref="D111:L111"/>
    <mergeCell ref="M111:P111"/>
    <mergeCell ref="Q111:S111"/>
    <mergeCell ref="T111:U111"/>
    <mergeCell ref="V111:X111"/>
    <mergeCell ref="A112:C112"/>
    <mergeCell ref="D112:L112"/>
    <mergeCell ref="M112:P112"/>
    <mergeCell ref="Q112:S112"/>
    <mergeCell ref="T112:U112"/>
    <mergeCell ref="V112:X112"/>
    <mergeCell ref="A114:X114"/>
    <mergeCell ref="J116:O117"/>
    <mergeCell ref="L118:M118"/>
    <mergeCell ref="A119:F119"/>
    <mergeCell ref="G119:L119"/>
    <mergeCell ref="M119:R119"/>
    <mergeCell ref="S119:X119"/>
    <mergeCell ref="A120:D120"/>
    <mergeCell ref="E120:F120"/>
    <mergeCell ref="G120:J120"/>
    <mergeCell ref="K120:L120"/>
    <mergeCell ref="M120:P120"/>
    <mergeCell ref="Q120:R120"/>
    <mergeCell ref="S120:V120"/>
    <mergeCell ref="W120:X120"/>
    <mergeCell ref="A121:D121"/>
    <mergeCell ref="E121:F121"/>
    <mergeCell ref="G121:J121"/>
    <mergeCell ref="K121:L121"/>
    <mergeCell ref="M121:P121"/>
    <mergeCell ref="Q121:R121"/>
    <mergeCell ref="S121:V121"/>
    <mergeCell ref="W121:X121"/>
    <mergeCell ref="A122:F122"/>
    <mergeCell ref="G122:L122"/>
    <mergeCell ref="M122:R122"/>
    <mergeCell ref="S122:X122"/>
    <mergeCell ref="A126:F126"/>
    <mergeCell ref="G126:L126"/>
    <mergeCell ref="M126:R126"/>
    <mergeCell ref="S126:X126"/>
    <mergeCell ref="A127:D127"/>
    <mergeCell ref="E127:F127"/>
    <mergeCell ref="G127:J127"/>
    <mergeCell ref="K127:L127"/>
    <mergeCell ref="M127:P127"/>
    <mergeCell ref="Q127:R127"/>
    <mergeCell ref="S127:V127"/>
    <mergeCell ref="W127:X127"/>
    <mergeCell ref="A128:D128"/>
    <mergeCell ref="E128:F128"/>
    <mergeCell ref="G128:J128"/>
    <mergeCell ref="K128:L128"/>
    <mergeCell ref="M128:P128"/>
    <mergeCell ref="Q128:R128"/>
    <mergeCell ref="S128:V128"/>
    <mergeCell ref="W128:X128"/>
    <mergeCell ref="A129:F129"/>
    <mergeCell ref="G129:L129"/>
    <mergeCell ref="M129:R129"/>
    <mergeCell ref="S129:X129"/>
    <mergeCell ref="A134:X134"/>
    <mergeCell ref="A136:F136"/>
    <mergeCell ref="G136:X136"/>
    <mergeCell ref="A137:F137"/>
    <mergeCell ref="G137:X137"/>
    <mergeCell ref="A138:F138"/>
    <mergeCell ref="G138:X138"/>
    <mergeCell ref="A139:F139"/>
    <mergeCell ref="G139:X139"/>
    <mergeCell ref="A140:F140"/>
    <mergeCell ref="G140:X140"/>
    <mergeCell ref="A141:F141"/>
    <mergeCell ref="G141:X141"/>
    <mergeCell ref="A142:F142"/>
    <mergeCell ref="G142:X142"/>
    <mergeCell ref="A143:F143"/>
    <mergeCell ref="G143:X143"/>
    <mergeCell ref="A144:F144"/>
    <mergeCell ref="G144:X144"/>
    <mergeCell ref="A145:F145"/>
    <mergeCell ref="G145:X145"/>
    <mergeCell ref="A148:X148"/>
  </mergeCells>
  <conditionalFormatting sqref="J12:J19">
    <cfRule type="dataBar" priority="2">
      <dataBar showValue="1" minLength="10" maxLength="90">
        <cfvo type="num" val="0"/>
        <cfvo type="num" val="0.4"/>
        <color rgb="FF2EBFA5"/>
      </dataBar>
      <extLst>
        <ext xmlns:x14="http://schemas.microsoft.com/office/spreadsheetml/2009/9/main" uri="{B025F937-C7B1-47D3-B67F-A62EFF666E3E}">
          <x14:id>{B48AF958-FABD-4178-BBEE-CAA126632B63}</x14:id>
        </ext>
      </extLst>
    </cfRule>
  </conditionalFormatting>
  <conditionalFormatting sqref="J23:J27">
    <cfRule type="colorScale" priority="3">
      <colorScale>
        <cfvo type="num" val="0"/>
        <cfvo type="percentile" val="50"/>
        <cfvo type="max" val="0"/>
        <color rgb="FF10B981"/>
        <color rgb="FFF4A261"/>
        <color rgb="FFFF6B6B"/>
      </colorScale>
    </cfRule>
  </conditionalFormatting>
  <conditionalFormatting sqref="K45:K52">
    <cfRule type="colorScale" priority="4">
      <colorScale>
        <cfvo type="num" val="0"/>
        <cfvo type="num" val="20"/>
        <cfvo type="num" val="45"/>
        <color rgb="FFFF6B6B"/>
        <color rgb="FFF4A261"/>
        <color rgb="FF10B981"/>
      </colorScale>
    </cfRule>
  </conditionalFormatting>
  <conditionalFormatting sqref="W45:W58">
    <cfRule type="colorScale" priority="5">
      <colorScale>
        <cfvo type="num" val="0"/>
        <cfvo type="num" val="15"/>
        <cfvo type="num" val="30"/>
        <color rgb="FFFF6B6B"/>
        <color rgb="FFF4A261"/>
        <color rgb="FF10B981"/>
      </colorScale>
    </cfRule>
  </conditionalFormatting>
  <conditionalFormatting sqref="V62:V69">
    <cfRule type="expression" priority="6" aboveAverage="0" equalAverage="0" bottom="0" percent="0" rank="0" text="" dxfId="0">
      <formula>$V62="High"</formula>
    </cfRule>
    <cfRule type="expression" priority="7" aboveAverage="0" equalAverage="0" bottom="0" percent="0" rank="0" text="" dxfId="1">
      <formula>$V62="Medium"</formula>
    </cfRule>
    <cfRule type="expression" priority="8" aboveAverage="0" equalAverage="0" bottom="0" percent="0" rank="0" text="" dxfId="2">
      <formula>$V62="Low"</formula>
    </cfRule>
  </conditionalFormatting>
  <conditionalFormatting sqref="V80:V89">
    <cfRule type="colorScale" priority="9">
      <colorScale>
        <cfvo type="num" val="30"/>
        <cfvo type="num" val="55"/>
        <cfvo type="num" val="85"/>
        <color rgb="FF86EFAC"/>
        <color rgb="FFFEF3C7"/>
        <color rgb="FFFECACA"/>
      </colorScale>
    </cfRule>
  </conditionalFormatting>
  <conditionalFormatting sqref="V107:V112">
    <cfRule type="expression" priority="10" aboveAverage="0" equalAverage="0" bottom="0" percent="0" rank="0" text="" dxfId="3">
      <formula>$V107="Overdue"</formula>
    </cfRule>
    <cfRule type="expression" priority="11" aboveAverage="0" equalAverage="0" bottom="0" percent="0" rank="0" text="" dxfId="0">
      <formula>$V107="Critical"</formula>
    </cfRule>
    <cfRule type="expression" priority="12" aboveAverage="0" equalAverage="0" bottom="0" percent="0" rank="0" text="" dxfId="1">
      <formula>$V107="Upcoming"</formula>
    </cfRule>
    <cfRule type="expression" priority="13" aboveAverage="0" equalAverage="0" bottom="0" percent="0" rank="0" text="" dxfId="2">
      <formula>$V107="Scheduled"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AF958-FABD-4178-BBEE-CAA126632B63}">
            <x14:dataBar minLength="10" maxLength="90" axisPosition="none" gradient="true">
              <x14:cfvo type="num">
                <xm:f>0</xm:f>
              </x14:cfvo>
              <x14:cfvo type="num">
                <xm:f>0.4</xm:f>
              </x14:cfvo>
              <x14:negativeFillColor rgb="FF2EBFA5"/>
              <x14:axisColor rgb="FF000000"/>
            </x14:dataBar>
          </x14:cfRule>
          <xm:sqref>J12:J19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56" t="s">
        <v>270</v>
      </c>
    </row>
    <row r="2" customFormat="false" ht="15" hidden="false" customHeight="false" outlineLevel="0" collapsed="false">
      <c r="A2" s="157" t="s">
        <v>271</v>
      </c>
      <c r="B2" s="158" t="n">
        <f aca="true">TODAY()</f>
        <v>46153</v>
      </c>
    </row>
    <row r="3" customFormat="false" ht="15" hidden="false" customHeight="false" outlineLevel="0" collapsed="false">
      <c r="A3" s="157"/>
    </row>
    <row r="4" customFormat="false" ht="15" hidden="false" customHeight="false" outlineLevel="0" collapsed="false">
      <c r="A4" s="157" t="s">
        <v>272</v>
      </c>
      <c r="B4" s="0" t="n">
        <v>30</v>
      </c>
    </row>
    <row r="5" customFormat="false" ht="15" hidden="false" customHeight="false" outlineLevel="0" collapsed="false">
      <c r="A5" s="157" t="s">
        <v>273</v>
      </c>
      <c r="B5" s="0" t="n">
        <v>45</v>
      </c>
    </row>
    <row r="6" customFormat="false" ht="15" hidden="false" customHeight="false" outlineLevel="0" collapsed="false">
      <c r="A6" s="157" t="s">
        <v>274</v>
      </c>
      <c r="B6" s="0" t="n">
        <v>180</v>
      </c>
    </row>
    <row r="7" customFormat="false" ht="15" hidden="false" customHeight="false" outlineLevel="0" collapsed="false">
      <c r="A7" s="157"/>
    </row>
    <row r="8" customFormat="false" ht="15" hidden="false" customHeight="false" outlineLevel="0" collapsed="false">
      <c r="A8" s="157" t="s">
        <v>275</v>
      </c>
      <c r="B8" s="159" t="n">
        <v>83.5</v>
      </c>
    </row>
    <row r="9" customFormat="false" ht="15" hidden="false" customHeight="false" outlineLevel="0" collapsed="false">
      <c r="A9" s="157"/>
    </row>
    <row r="10" customFormat="false" ht="15" hidden="false" customHeight="false" outlineLevel="0" collapsed="false">
      <c r="A10" s="160" t="s">
        <v>276</v>
      </c>
    </row>
    <row r="11" customFormat="false" ht="15" hidden="false" customHeight="false" outlineLevel="0" collapsed="false">
      <c r="A11" s="157" t="s">
        <v>277</v>
      </c>
    </row>
    <row r="12" customFormat="false" ht="15" hidden="false" customHeight="false" outlineLevel="0" collapsed="false">
      <c r="A12" s="157" t="s">
        <v>278</v>
      </c>
    </row>
    <row r="13" customFormat="false" ht="15" hidden="false" customHeight="false" outlineLevel="0" collapsed="false">
      <c r="A13" s="157" t="s">
        <v>279</v>
      </c>
    </row>
    <row r="14" customFormat="false" ht="15" hidden="false" customHeight="false" outlineLevel="0" collapsed="false">
      <c r="A14" s="1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K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6" min="4" style="0" width="22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61" t="s">
        <v>280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customFormat="false" ht="27.75" hidden="false" customHeight="true" outlineLevel="0" collapsed="false">
      <c r="A2" s="162" t="s">
        <v>281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4" customFormat="false" ht="36" hidden="false" customHeight="true" outlineLevel="0" collapsed="false">
      <c r="A4" s="163" t="s">
        <v>282</v>
      </c>
      <c r="B4" s="163" t="s">
        <v>51</v>
      </c>
      <c r="C4" s="163" t="s">
        <v>10</v>
      </c>
      <c r="D4" s="163" t="s">
        <v>283</v>
      </c>
      <c r="E4" s="163" t="s">
        <v>284</v>
      </c>
      <c r="F4" s="163" t="s">
        <v>285</v>
      </c>
      <c r="G4" s="163" t="s">
        <v>286</v>
      </c>
      <c r="H4" s="163" t="s">
        <v>287</v>
      </c>
      <c r="I4" s="163" t="s">
        <v>288</v>
      </c>
      <c r="J4" s="163" t="s">
        <v>289</v>
      </c>
      <c r="K4" s="163" t="s">
        <v>290</v>
      </c>
    </row>
    <row r="5" customFormat="false" ht="15" hidden="false" customHeight="false" outlineLevel="0" collapsed="false">
      <c r="A5" s="164" t="s">
        <v>291</v>
      </c>
      <c r="B5" s="165" t="s">
        <v>292</v>
      </c>
      <c r="C5" s="165" t="s">
        <v>15</v>
      </c>
      <c r="D5" s="165" t="s">
        <v>293</v>
      </c>
      <c r="E5" s="165" t="s">
        <v>294</v>
      </c>
      <c r="F5" s="165" t="s">
        <v>295</v>
      </c>
      <c r="G5" s="166" t="n">
        <v>42506</v>
      </c>
      <c r="H5" s="164" t="s">
        <v>17</v>
      </c>
      <c r="I5" s="167" t="n">
        <f aca="false">IFERROR(ROUND((ReportDate-G5)/365.25,2),"")</f>
        <v>9.98</v>
      </c>
      <c r="J5" s="164"/>
      <c r="K5" s="164"/>
    </row>
    <row r="6" customFormat="false" ht="15" hidden="false" customHeight="false" outlineLevel="0" collapsed="false">
      <c r="A6" s="168" t="s">
        <v>296</v>
      </c>
      <c r="B6" s="169" t="s">
        <v>297</v>
      </c>
      <c r="C6" s="169" t="s">
        <v>16</v>
      </c>
      <c r="D6" s="169" t="s">
        <v>298</v>
      </c>
      <c r="E6" s="169" t="s">
        <v>294</v>
      </c>
      <c r="F6" s="169" t="s">
        <v>299</v>
      </c>
      <c r="G6" s="170" t="n">
        <v>43390</v>
      </c>
      <c r="H6" s="168" t="s">
        <v>17</v>
      </c>
      <c r="I6" s="171" t="n">
        <f aca="false">IFERROR(ROUND((ReportDate-G6)/365.25,2),"")</f>
        <v>7.56</v>
      </c>
      <c r="J6" s="168"/>
      <c r="K6" s="168"/>
    </row>
    <row r="7" customFormat="false" ht="15" hidden="false" customHeight="false" outlineLevel="0" collapsed="false">
      <c r="A7" s="164" t="s">
        <v>300</v>
      </c>
      <c r="B7" s="165" t="s">
        <v>109</v>
      </c>
      <c r="C7" s="165" t="s">
        <v>20</v>
      </c>
      <c r="D7" s="165" t="s">
        <v>301</v>
      </c>
      <c r="E7" s="165" t="s">
        <v>294</v>
      </c>
      <c r="F7" s="165" t="s">
        <v>302</v>
      </c>
      <c r="G7" s="166" t="n">
        <v>42869</v>
      </c>
      <c r="H7" s="164" t="s">
        <v>17</v>
      </c>
      <c r="I7" s="167" t="n">
        <f aca="false">IFERROR(ROUND((ReportDate-G7)/365.25,2),"")</f>
        <v>8.99</v>
      </c>
      <c r="J7" s="164"/>
      <c r="K7" s="164"/>
    </row>
    <row r="8" customFormat="false" ht="15" hidden="false" customHeight="false" outlineLevel="0" collapsed="false">
      <c r="A8" s="168" t="s">
        <v>303</v>
      </c>
      <c r="B8" s="169" t="s">
        <v>304</v>
      </c>
      <c r="C8" s="169" t="s">
        <v>21</v>
      </c>
      <c r="D8" s="169" t="s">
        <v>305</v>
      </c>
      <c r="E8" s="169" t="s">
        <v>294</v>
      </c>
      <c r="F8" s="169" t="s">
        <v>306</v>
      </c>
      <c r="G8" s="170" t="n">
        <v>42452</v>
      </c>
      <c r="H8" s="168" t="s">
        <v>17</v>
      </c>
      <c r="I8" s="171" t="n">
        <f aca="false">IFERROR(ROUND((ReportDate-G8)/365.25,2),"")</f>
        <v>10.13</v>
      </c>
      <c r="J8" s="168"/>
      <c r="K8" s="168"/>
    </row>
    <row r="9" customFormat="false" ht="15" hidden="false" customHeight="false" outlineLevel="0" collapsed="false">
      <c r="A9" s="164" t="s">
        <v>307</v>
      </c>
      <c r="B9" s="165" t="s">
        <v>308</v>
      </c>
      <c r="C9" s="165" t="s">
        <v>22</v>
      </c>
      <c r="D9" s="165" t="s">
        <v>309</v>
      </c>
      <c r="E9" s="165" t="s">
        <v>294</v>
      </c>
      <c r="F9" s="165" t="s">
        <v>310</v>
      </c>
      <c r="G9" s="166" t="n">
        <v>42059</v>
      </c>
      <c r="H9" s="164" t="s">
        <v>17</v>
      </c>
      <c r="I9" s="167" t="n">
        <f aca="false">IFERROR(ROUND((ReportDate-G9)/365.25,2),"")</f>
        <v>11.21</v>
      </c>
      <c r="J9" s="164"/>
      <c r="K9" s="164"/>
    </row>
    <row r="10" customFormat="false" ht="15" hidden="false" customHeight="false" outlineLevel="0" collapsed="false">
      <c r="A10" s="168" t="s">
        <v>311</v>
      </c>
      <c r="B10" s="169" t="s">
        <v>312</v>
      </c>
      <c r="C10" s="169" t="s">
        <v>23</v>
      </c>
      <c r="D10" s="169" t="s">
        <v>313</v>
      </c>
      <c r="E10" s="169" t="s">
        <v>294</v>
      </c>
      <c r="F10" s="169" t="s">
        <v>314</v>
      </c>
      <c r="G10" s="170" t="n">
        <v>42864</v>
      </c>
      <c r="H10" s="168" t="s">
        <v>17</v>
      </c>
      <c r="I10" s="171" t="n">
        <f aca="false">IFERROR(ROUND((ReportDate-G10)/365.25,2),"")</f>
        <v>9</v>
      </c>
      <c r="J10" s="168"/>
      <c r="K10" s="168"/>
    </row>
    <row r="11" customFormat="false" ht="15" hidden="false" customHeight="false" outlineLevel="0" collapsed="false">
      <c r="A11" s="164" t="s">
        <v>315</v>
      </c>
      <c r="B11" s="165" t="s">
        <v>316</v>
      </c>
      <c r="C11" s="165" t="s">
        <v>24</v>
      </c>
      <c r="D11" s="165" t="s">
        <v>317</v>
      </c>
      <c r="E11" s="165" t="s">
        <v>294</v>
      </c>
      <c r="F11" s="165" t="s">
        <v>318</v>
      </c>
      <c r="G11" s="166" t="n">
        <v>43662</v>
      </c>
      <c r="H11" s="164" t="s">
        <v>17</v>
      </c>
      <c r="I11" s="167" t="n">
        <f aca="false">IFERROR(ROUND((ReportDate-G11)/365.25,2),"")</f>
        <v>6.82</v>
      </c>
      <c r="J11" s="164"/>
      <c r="K11" s="164"/>
    </row>
    <row r="12" customFormat="false" ht="15" hidden="false" customHeight="false" outlineLevel="0" collapsed="false">
      <c r="A12" s="168" t="s">
        <v>319</v>
      </c>
      <c r="B12" s="169" t="s">
        <v>320</v>
      </c>
      <c r="C12" s="169" t="s">
        <v>25</v>
      </c>
      <c r="D12" s="169" t="s">
        <v>321</v>
      </c>
      <c r="E12" s="169" t="s">
        <v>294</v>
      </c>
      <c r="F12" s="169" t="s">
        <v>322</v>
      </c>
      <c r="G12" s="170" t="n">
        <v>42701</v>
      </c>
      <c r="H12" s="168" t="s">
        <v>17</v>
      </c>
      <c r="I12" s="171" t="n">
        <f aca="false">IFERROR(ROUND((ReportDate-G12)/365.25,2),"")</f>
        <v>9.45</v>
      </c>
      <c r="J12" s="168"/>
      <c r="K12" s="168"/>
    </row>
    <row r="13" customFormat="false" ht="15" hidden="false" customHeight="false" outlineLevel="0" collapsed="false">
      <c r="A13" s="164" t="s">
        <v>323</v>
      </c>
      <c r="B13" s="165" t="s">
        <v>324</v>
      </c>
      <c r="C13" s="165" t="s">
        <v>15</v>
      </c>
      <c r="D13" s="165" t="s">
        <v>325</v>
      </c>
      <c r="E13" s="165" t="s">
        <v>292</v>
      </c>
      <c r="F13" s="165" t="s">
        <v>326</v>
      </c>
      <c r="G13" s="166" t="n">
        <v>43310</v>
      </c>
      <c r="H13" s="164" t="s">
        <v>17</v>
      </c>
      <c r="I13" s="167" t="n">
        <f aca="false">IFERROR(ROUND((ReportDate-G13)/365.25,2),"")</f>
        <v>7.78</v>
      </c>
      <c r="J13" s="164"/>
      <c r="K13" s="164"/>
    </row>
    <row r="14" customFormat="false" ht="15" hidden="false" customHeight="false" outlineLevel="0" collapsed="false">
      <c r="A14" s="168" t="s">
        <v>327</v>
      </c>
      <c r="B14" s="169" t="s">
        <v>328</v>
      </c>
      <c r="C14" s="169" t="s">
        <v>15</v>
      </c>
      <c r="D14" s="169" t="s">
        <v>325</v>
      </c>
      <c r="E14" s="169" t="s">
        <v>292</v>
      </c>
      <c r="F14" s="169" t="s">
        <v>329</v>
      </c>
      <c r="G14" s="170" t="n">
        <v>43836</v>
      </c>
      <c r="H14" s="168" t="s">
        <v>17</v>
      </c>
      <c r="I14" s="171" t="n">
        <f aca="false">IFERROR(ROUND((ReportDate-G14)/365.25,2),"")</f>
        <v>6.34</v>
      </c>
      <c r="J14" s="168"/>
      <c r="K14" s="168"/>
    </row>
    <row r="15" customFormat="false" ht="15" hidden="false" customHeight="false" outlineLevel="0" collapsed="false">
      <c r="A15" s="164" t="s">
        <v>330</v>
      </c>
      <c r="B15" s="165" t="s">
        <v>331</v>
      </c>
      <c r="C15" s="165" t="s">
        <v>15</v>
      </c>
      <c r="D15" s="165" t="s">
        <v>325</v>
      </c>
      <c r="E15" s="165" t="s">
        <v>292</v>
      </c>
      <c r="F15" s="165" t="s">
        <v>295</v>
      </c>
      <c r="G15" s="166" t="n">
        <v>44753</v>
      </c>
      <c r="H15" s="164" t="s">
        <v>17</v>
      </c>
      <c r="I15" s="167" t="n">
        <f aca="false">IFERROR(ROUND((ReportDate-G15)/365.25,2),"")</f>
        <v>3.83</v>
      </c>
      <c r="J15" s="164"/>
      <c r="K15" s="164"/>
    </row>
    <row r="16" customFormat="false" ht="15" hidden="false" customHeight="false" outlineLevel="0" collapsed="false">
      <c r="A16" s="168" t="s">
        <v>332</v>
      </c>
      <c r="B16" s="169" t="s">
        <v>333</v>
      </c>
      <c r="C16" s="169" t="s">
        <v>16</v>
      </c>
      <c r="D16" s="169" t="s">
        <v>334</v>
      </c>
      <c r="E16" s="169" t="s">
        <v>297</v>
      </c>
      <c r="F16" s="169" t="s">
        <v>299</v>
      </c>
      <c r="G16" s="170" t="n">
        <v>43876</v>
      </c>
      <c r="H16" s="168" t="s">
        <v>17</v>
      </c>
      <c r="I16" s="171" t="n">
        <f aca="false">IFERROR(ROUND((ReportDate-G16)/365.25,2),"")</f>
        <v>6.23</v>
      </c>
      <c r="J16" s="168"/>
      <c r="K16" s="168"/>
    </row>
    <row r="17" customFormat="false" ht="15" hidden="false" customHeight="false" outlineLevel="0" collapsed="false">
      <c r="A17" s="164" t="s">
        <v>335</v>
      </c>
      <c r="B17" s="165" t="s">
        <v>336</v>
      </c>
      <c r="C17" s="165" t="s">
        <v>16</v>
      </c>
      <c r="D17" s="165" t="s">
        <v>334</v>
      </c>
      <c r="E17" s="165" t="s">
        <v>297</v>
      </c>
      <c r="F17" s="165" t="s">
        <v>337</v>
      </c>
      <c r="G17" s="166" t="n">
        <v>44799</v>
      </c>
      <c r="H17" s="164" t="s">
        <v>17</v>
      </c>
      <c r="I17" s="167" t="n">
        <f aca="false">IFERROR(ROUND((ReportDate-G17)/365.25,2),"")</f>
        <v>3.71</v>
      </c>
      <c r="J17" s="164"/>
      <c r="K17" s="164"/>
    </row>
    <row r="18" customFormat="false" ht="15" hidden="false" customHeight="false" outlineLevel="0" collapsed="false">
      <c r="A18" s="168" t="s">
        <v>338</v>
      </c>
      <c r="B18" s="169" t="s">
        <v>339</v>
      </c>
      <c r="C18" s="169" t="s">
        <v>20</v>
      </c>
      <c r="D18" s="169" t="s">
        <v>340</v>
      </c>
      <c r="E18" s="169" t="s">
        <v>109</v>
      </c>
      <c r="F18" s="169" t="s">
        <v>341</v>
      </c>
      <c r="G18" s="170" t="n">
        <v>43194</v>
      </c>
      <c r="H18" s="168" t="s">
        <v>17</v>
      </c>
      <c r="I18" s="171" t="n">
        <f aca="false">IFERROR(ROUND((ReportDate-G18)/365.25,2),"")</f>
        <v>8.1</v>
      </c>
      <c r="J18" s="168"/>
      <c r="K18" s="168"/>
    </row>
    <row r="19" customFormat="false" ht="15" hidden="false" customHeight="false" outlineLevel="0" collapsed="false">
      <c r="A19" s="164" t="s">
        <v>342</v>
      </c>
      <c r="B19" s="165" t="s">
        <v>343</v>
      </c>
      <c r="C19" s="165" t="s">
        <v>20</v>
      </c>
      <c r="D19" s="165" t="s">
        <v>340</v>
      </c>
      <c r="E19" s="165" t="s">
        <v>109</v>
      </c>
      <c r="F19" s="165" t="s">
        <v>341</v>
      </c>
      <c r="G19" s="166" t="n">
        <v>44852</v>
      </c>
      <c r="H19" s="164" t="s">
        <v>17</v>
      </c>
      <c r="I19" s="167" t="n">
        <f aca="false">IFERROR(ROUND((ReportDate-G19)/365.25,2),"")</f>
        <v>3.56</v>
      </c>
      <c r="J19" s="164"/>
      <c r="K19" s="164"/>
    </row>
    <row r="20" customFormat="false" ht="15" hidden="false" customHeight="false" outlineLevel="0" collapsed="false">
      <c r="A20" s="168" t="s">
        <v>344</v>
      </c>
      <c r="B20" s="169" t="s">
        <v>345</v>
      </c>
      <c r="C20" s="169" t="s">
        <v>20</v>
      </c>
      <c r="D20" s="169" t="s">
        <v>340</v>
      </c>
      <c r="E20" s="169" t="s">
        <v>109</v>
      </c>
      <c r="F20" s="169" t="s">
        <v>346</v>
      </c>
      <c r="G20" s="170" t="n">
        <v>43670</v>
      </c>
      <c r="H20" s="168" t="s">
        <v>17</v>
      </c>
      <c r="I20" s="171" t="n">
        <f aca="false">IFERROR(ROUND((ReportDate-G20)/365.25,2),"")</f>
        <v>6.8</v>
      </c>
      <c r="J20" s="168"/>
      <c r="K20" s="168"/>
    </row>
    <row r="21" customFormat="false" ht="15" hidden="false" customHeight="false" outlineLevel="0" collapsed="false">
      <c r="A21" s="164" t="s">
        <v>347</v>
      </c>
      <c r="B21" s="165" t="s">
        <v>348</v>
      </c>
      <c r="C21" s="165" t="s">
        <v>21</v>
      </c>
      <c r="D21" s="165" t="s">
        <v>349</v>
      </c>
      <c r="E21" s="165" t="s">
        <v>304</v>
      </c>
      <c r="F21" s="165" t="s">
        <v>350</v>
      </c>
      <c r="G21" s="166" t="n">
        <v>43828</v>
      </c>
      <c r="H21" s="164" t="s">
        <v>17</v>
      </c>
      <c r="I21" s="167" t="n">
        <f aca="false">IFERROR(ROUND((ReportDate-G21)/365.25,2),"")</f>
        <v>6.37</v>
      </c>
      <c r="J21" s="164"/>
      <c r="K21" s="164"/>
    </row>
    <row r="22" customFormat="false" ht="15" hidden="false" customHeight="false" outlineLevel="0" collapsed="false">
      <c r="A22" s="168" t="s">
        <v>351</v>
      </c>
      <c r="B22" s="169" t="s">
        <v>352</v>
      </c>
      <c r="C22" s="169" t="s">
        <v>21</v>
      </c>
      <c r="D22" s="169" t="s">
        <v>349</v>
      </c>
      <c r="E22" s="169" t="s">
        <v>304</v>
      </c>
      <c r="F22" s="169" t="s">
        <v>306</v>
      </c>
      <c r="G22" s="170" t="n">
        <v>44348</v>
      </c>
      <c r="H22" s="168" t="s">
        <v>17</v>
      </c>
      <c r="I22" s="171" t="n">
        <f aca="false">IFERROR(ROUND((ReportDate-G22)/365.25,2),"")</f>
        <v>4.94</v>
      </c>
      <c r="J22" s="168"/>
      <c r="K22" s="168"/>
    </row>
    <row r="23" customFormat="false" ht="15" hidden="false" customHeight="false" outlineLevel="0" collapsed="false">
      <c r="A23" s="164" t="s">
        <v>353</v>
      </c>
      <c r="B23" s="165" t="s">
        <v>164</v>
      </c>
      <c r="C23" s="165" t="s">
        <v>21</v>
      </c>
      <c r="D23" s="165" t="s">
        <v>349</v>
      </c>
      <c r="E23" s="165" t="s">
        <v>304</v>
      </c>
      <c r="F23" s="165" t="s">
        <v>354</v>
      </c>
      <c r="G23" s="166" t="n">
        <v>43435</v>
      </c>
      <c r="H23" s="164" t="s">
        <v>17</v>
      </c>
      <c r="I23" s="167" t="n">
        <f aca="false">IFERROR(ROUND((ReportDate-G23)/365.25,2),"")</f>
        <v>7.44</v>
      </c>
      <c r="J23" s="164"/>
      <c r="K23" s="164"/>
    </row>
    <row r="24" customFormat="false" ht="15" hidden="false" customHeight="false" outlineLevel="0" collapsed="false">
      <c r="A24" s="168" t="s">
        <v>355</v>
      </c>
      <c r="B24" s="169" t="s">
        <v>356</v>
      </c>
      <c r="C24" s="169" t="s">
        <v>22</v>
      </c>
      <c r="D24" s="169" t="s">
        <v>357</v>
      </c>
      <c r="E24" s="169" t="s">
        <v>308</v>
      </c>
      <c r="F24" s="169" t="s">
        <v>310</v>
      </c>
      <c r="G24" s="170" t="n">
        <v>43550</v>
      </c>
      <c r="H24" s="168" t="s">
        <v>17</v>
      </c>
      <c r="I24" s="171" t="n">
        <f aca="false">IFERROR(ROUND((ReportDate-G24)/365.25,2),"")</f>
        <v>7.13</v>
      </c>
      <c r="J24" s="168"/>
      <c r="K24" s="168"/>
    </row>
    <row r="25" customFormat="false" ht="15" hidden="false" customHeight="false" outlineLevel="0" collapsed="false">
      <c r="A25" s="164" t="s">
        <v>358</v>
      </c>
      <c r="B25" s="165" t="s">
        <v>79</v>
      </c>
      <c r="C25" s="165" t="s">
        <v>22</v>
      </c>
      <c r="D25" s="165" t="s">
        <v>357</v>
      </c>
      <c r="E25" s="165" t="s">
        <v>308</v>
      </c>
      <c r="F25" s="165" t="s">
        <v>359</v>
      </c>
      <c r="G25" s="166" t="n">
        <v>44784</v>
      </c>
      <c r="H25" s="164" t="s">
        <v>17</v>
      </c>
      <c r="I25" s="167" t="n">
        <f aca="false">IFERROR(ROUND((ReportDate-G25)/365.25,2),"")</f>
        <v>3.75</v>
      </c>
      <c r="J25" s="164"/>
      <c r="K25" s="164"/>
    </row>
    <row r="26" customFormat="false" ht="15" hidden="false" customHeight="false" outlineLevel="0" collapsed="false">
      <c r="A26" s="168" t="s">
        <v>360</v>
      </c>
      <c r="B26" s="169" t="s">
        <v>361</v>
      </c>
      <c r="C26" s="169" t="s">
        <v>22</v>
      </c>
      <c r="D26" s="169" t="s">
        <v>357</v>
      </c>
      <c r="E26" s="169" t="s">
        <v>308</v>
      </c>
      <c r="F26" s="169" t="s">
        <v>362</v>
      </c>
      <c r="G26" s="170" t="n">
        <v>43649</v>
      </c>
      <c r="H26" s="168" t="s">
        <v>17</v>
      </c>
      <c r="I26" s="171" t="n">
        <f aca="false">IFERROR(ROUND((ReportDate-G26)/365.25,2),"")</f>
        <v>6.86</v>
      </c>
      <c r="J26" s="168"/>
      <c r="K26" s="168"/>
    </row>
    <row r="27" customFormat="false" ht="15" hidden="false" customHeight="false" outlineLevel="0" collapsed="false">
      <c r="A27" s="164" t="s">
        <v>363</v>
      </c>
      <c r="B27" s="165" t="s">
        <v>364</v>
      </c>
      <c r="C27" s="165" t="s">
        <v>23</v>
      </c>
      <c r="D27" s="165" t="s">
        <v>365</v>
      </c>
      <c r="E27" s="165" t="s">
        <v>312</v>
      </c>
      <c r="F27" s="165" t="s">
        <v>366</v>
      </c>
      <c r="G27" s="166" t="n">
        <v>43536</v>
      </c>
      <c r="H27" s="164" t="s">
        <v>17</v>
      </c>
      <c r="I27" s="167" t="n">
        <f aca="false">IFERROR(ROUND((ReportDate-G27)/365.25,2),"")</f>
        <v>7.16</v>
      </c>
      <c r="J27" s="164"/>
      <c r="K27" s="164"/>
    </row>
    <row r="28" customFormat="false" ht="15" hidden="false" customHeight="false" outlineLevel="0" collapsed="false">
      <c r="A28" s="168" t="s">
        <v>367</v>
      </c>
      <c r="B28" s="169" t="s">
        <v>119</v>
      </c>
      <c r="C28" s="169" t="s">
        <v>23</v>
      </c>
      <c r="D28" s="169" t="s">
        <v>365</v>
      </c>
      <c r="E28" s="169" t="s">
        <v>312</v>
      </c>
      <c r="F28" s="169" t="s">
        <v>368</v>
      </c>
      <c r="G28" s="170" t="n">
        <v>43393</v>
      </c>
      <c r="H28" s="168" t="s">
        <v>17</v>
      </c>
      <c r="I28" s="171" t="n">
        <f aca="false">IFERROR(ROUND((ReportDate-G28)/365.25,2),"")</f>
        <v>7.56</v>
      </c>
      <c r="J28" s="168"/>
      <c r="K28" s="168"/>
    </row>
    <row r="29" customFormat="false" ht="15" hidden="false" customHeight="false" outlineLevel="0" collapsed="false">
      <c r="A29" s="164" t="s">
        <v>369</v>
      </c>
      <c r="B29" s="165" t="s">
        <v>370</v>
      </c>
      <c r="C29" s="165" t="s">
        <v>24</v>
      </c>
      <c r="D29" s="165" t="s">
        <v>371</v>
      </c>
      <c r="E29" s="165" t="s">
        <v>316</v>
      </c>
      <c r="F29" s="165" t="s">
        <v>318</v>
      </c>
      <c r="G29" s="166" t="n">
        <v>44630</v>
      </c>
      <c r="H29" s="164" t="s">
        <v>17</v>
      </c>
      <c r="I29" s="167" t="n">
        <f aca="false">IFERROR(ROUND((ReportDate-G29)/365.25,2),"")</f>
        <v>4.17</v>
      </c>
      <c r="J29" s="164"/>
      <c r="K29" s="164"/>
    </row>
    <row r="30" customFormat="false" ht="15" hidden="false" customHeight="false" outlineLevel="0" collapsed="false">
      <c r="A30" s="168" t="s">
        <v>372</v>
      </c>
      <c r="B30" s="169" t="s">
        <v>373</v>
      </c>
      <c r="C30" s="169" t="s">
        <v>24</v>
      </c>
      <c r="D30" s="169" t="s">
        <v>371</v>
      </c>
      <c r="E30" s="169" t="s">
        <v>316</v>
      </c>
      <c r="F30" s="169" t="s">
        <v>374</v>
      </c>
      <c r="G30" s="170" t="n">
        <v>43842</v>
      </c>
      <c r="H30" s="168" t="s">
        <v>17</v>
      </c>
      <c r="I30" s="171" t="n">
        <f aca="false">IFERROR(ROUND((ReportDate-G30)/365.25,2),"")</f>
        <v>6.33</v>
      </c>
      <c r="J30" s="168"/>
      <c r="K30" s="168"/>
    </row>
    <row r="31" customFormat="false" ht="15" hidden="false" customHeight="false" outlineLevel="0" collapsed="false">
      <c r="A31" s="164" t="s">
        <v>375</v>
      </c>
      <c r="B31" s="165" t="s">
        <v>297</v>
      </c>
      <c r="C31" s="165" t="s">
        <v>24</v>
      </c>
      <c r="D31" s="165" t="s">
        <v>371</v>
      </c>
      <c r="E31" s="165" t="s">
        <v>316</v>
      </c>
      <c r="F31" s="165" t="s">
        <v>374</v>
      </c>
      <c r="G31" s="166" t="n">
        <v>43287</v>
      </c>
      <c r="H31" s="164" t="s">
        <v>17</v>
      </c>
      <c r="I31" s="167" t="n">
        <f aca="false">IFERROR(ROUND((ReportDate-G31)/365.25,2),"")</f>
        <v>7.85</v>
      </c>
      <c r="J31" s="164"/>
      <c r="K31" s="164"/>
    </row>
    <row r="32" customFormat="false" ht="15" hidden="false" customHeight="false" outlineLevel="0" collapsed="false">
      <c r="A32" s="168" t="s">
        <v>376</v>
      </c>
      <c r="B32" s="169" t="s">
        <v>377</v>
      </c>
      <c r="C32" s="169" t="s">
        <v>25</v>
      </c>
      <c r="D32" s="169" t="s">
        <v>378</v>
      </c>
      <c r="E32" s="169" t="s">
        <v>320</v>
      </c>
      <c r="F32" s="169" t="s">
        <v>302</v>
      </c>
      <c r="G32" s="170" t="n">
        <v>44723</v>
      </c>
      <c r="H32" s="168" t="s">
        <v>17</v>
      </c>
      <c r="I32" s="171" t="n">
        <f aca="false">IFERROR(ROUND((ReportDate-G32)/365.25,2),"")</f>
        <v>3.92</v>
      </c>
      <c r="J32" s="168"/>
      <c r="K32" s="168"/>
    </row>
    <row r="33" customFormat="false" ht="15" hidden="false" customHeight="false" outlineLevel="0" collapsed="false">
      <c r="A33" s="164" t="s">
        <v>379</v>
      </c>
      <c r="B33" s="165" t="s">
        <v>380</v>
      </c>
      <c r="C33" s="165" t="s">
        <v>25</v>
      </c>
      <c r="D33" s="165" t="s">
        <v>378</v>
      </c>
      <c r="E33" s="165" t="s">
        <v>320</v>
      </c>
      <c r="F33" s="165" t="s">
        <v>381</v>
      </c>
      <c r="G33" s="166" t="n">
        <v>43889</v>
      </c>
      <c r="H33" s="164" t="s">
        <v>17</v>
      </c>
      <c r="I33" s="167" t="n">
        <f aca="false">IFERROR(ROUND((ReportDate-G33)/365.25,2),"")</f>
        <v>6.2</v>
      </c>
      <c r="J33" s="164"/>
      <c r="K33" s="164"/>
    </row>
    <row r="34" customFormat="false" ht="15" hidden="false" customHeight="false" outlineLevel="0" collapsed="false">
      <c r="A34" s="168" t="s">
        <v>382</v>
      </c>
      <c r="B34" s="169" t="s">
        <v>383</v>
      </c>
      <c r="C34" s="169" t="s">
        <v>15</v>
      </c>
      <c r="D34" s="169" t="s">
        <v>384</v>
      </c>
      <c r="E34" s="169" t="s">
        <v>331</v>
      </c>
      <c r="F34" s="169" t="s">
        <v>385</v>
      </c>
      <c r="G34" s="170" t="n">
        <v>46013</v>
      </c>
      <c r="H34" s="168" t="s">
        <v>386</v>
      </c>
      <c r="I34" s="171" t="n">
        <f aca="false">IFERROR(ROUND((ReportDate-G34)/365.25,2),"")</f>
        <v>0.38</v>
      </c>
      <c r="J34" s="168"/>
      <c r="K34" s="168"/>
    </row>
    <row r="35" customFormat="false" ht="15" hidden="false" customHeight="false" outlineLevel="0" collapsed="false">
      <c r="A35" s="164" t="s">
        <v>161</v>
      </c>
      <c r="B35" s="165" t="s">
        <v>162</v>
      </c>
      <c r="C35" s="165" t="s">
        <v>15</v>
      </c>
      <c r="D35" s="165" t="s">
        <v>387</v>
      </c>
      <c r="E35" s="165" t="s">
        <v>331</v>
      </c>
      <c r="F35" s="165" t="s">
        <v>329</v>
      </c>
      <c r="G35" s="166" t="n">
        <v>46080</v>
      </c>
      <c r="H35" s="164" t="s">
        <v>386</v>
      </c>
      <c r="I35" s="167" t="n">
        <f aca="false">IFERROR(ROUND((ReportDate-G35)/365.25,2),"")</f>
        <v>0.2</v>
      </c>
      <c r="J35" s="164"/>
      <c r="K35" s="164"/>
    </row>
    <row r="36" customFormat="false" ht="15" hidden="false" customHeight="false" outlineLevel="0" collapsed="false">
      <c r="A36" s="168" t="s">
        <v>388</v>
      </c>
      <c r="B36" s="169" t="s">
        <v>389</v>
      </c>
      <c r="C36" s="169" t="s">
        <v>15</v>
      </c>
      <c r="D36" s="169" t="s">
        <v>384</v>
      </c>
      <c r="E36" s="169" t="s">
        <v>328</v>
      </c>
      <c r="F36" s="169" t="s">
        <v>295</v>
      </c>
      <c r="G36" s="170" t="n">
        <v>44568</v>
      </c>
      <c r="H36" s="168" t="s">
        <v>17</v>
      </c>
      <c r="I36" s="171" t="n">
        <f aca="false">IFERROR(ROUND((ReportDate-G36)/365.25,2),"")</f>
        <v>4.34</v>
      </c>
      <c r="J36" s="168"/>
      <c r="K36" s="168"/>
    </row>
    <row r="37" customFormat="false" ht="15" hidden="false" customHeight="false" outlineLevel="0" collapsed="false">
      <c r="A37" s="164" t="s">
        <v>390</v>
      </c>
      <c r="B37" s="165" t="s">
        <v>391</v>
      </c>
      <c r="C37" s="165" t="s">
        <v>15</v>
      </c>
      <c r="D37" s="165" t="s">
        <v>387</v>
      </c>
      <c r="E37" s="165" t="s">
        <v>331</v>
      </c>
      <c r="F37" s="165" t="s">
        <v>392</v>
      </c>
      <c r="G37" s="166" t="n">
        <v>45173</v>
      </c>
      <c r="H37" s="164" t="s">
        <v>17</v>
      </c>
      <c r="I37" s="167" t="n">
        <f aca="false">IFERROR(ROUND((ReportDate-G37)/365.25,2),"")</f>
        <v>2.68</v>
      </c>
      <c r="J37" s="164"/>
      <c r="K37" s="164"/>
    </row>
    <row r="38" customFormat="false" ht="15" hidden="false" customHeight="false" outlineLevel="0" collapsed="false">
      <c r="A38" s="168" t="s">
        <v>163</v>
      </c>
      <c r="B38" s="169" t="s">
        <v>164</v>
      </c>
      <c r="C38" s="169" t="s">
        <v>15</v>
      </c>
      <c r="D38" s="169" t="s">
        <v>384</v>
      </c>
      <c r="E38" s="169" t="s">
        <v>324</v>
      </c>
      <c r="F38" s="169" t="s">
        <v>385</v>
      </c>
      <c r="G38" s="170" t="n">
        <v>45648</v>
      </c>
      <c r="H38" s="168" t="s">
        <v>17</v>
      </c>
      <c r="I38" s="171" t="n">
        <f aca="false">IFERROR(ROUND((ReportDate-G38)/365.25,2),"")</f>
        <v>1.38</v>
      </c>
      <c r="J38" s="168"/>
      <c r="K38" s="168"/>
    </row>
    <row r="39" customFormat="false" ht="15" hidden="false" customHeight="false" outlineLevel="0" collapsed="false">
      <c r="A39" s="164" t="s">
        <v>68</v>
      </c>
      <c r="B39" s="165" t="s">
        <v>69</v>
      </c>
      <c r="C39" s="165" t="s">
        <v>15</v>
      </c>
      <c r="D39" s="165" t="s">
        <v>393</v>
      </c>
      <c r="E39" s="165" t="s">
        <v>328</v>
      </c>
      <c r="F39" s="165" t="s">
        <v>329</v>
      </c>
      <c r="G39" s="166" t="n">
        <v>46029</v>
      </c>
      <c r="H39" s="164" t="s">
        <v>19</v>
      </c>
      <c r="I39" s="167" t="n">
        <f aca="false">IFERROR(ROUND((ReportDate-G39)/365.25,2),"")</f>
        <v>0.34</v>
      </c>
      <c r="J39" s="166" t="n">
        <v>46173</v>
      </c>
      <c r="K39" s="164"/>
    </row>
    <row r="40" customFormat="false" ht="15" hidden="false" customHeight="false" outlineLevel="0" collapsed="false">
      <c r="A40" s="168" t="s">
        <v>80</v>
      </c>
      <c r="B40" s="169" t="s">
        <v>81</v>
      </c>
      <c r="C40" s="169" t="s">
        <v>15</v>
      </c>
      <c r="D40" s="169" t="s">
        <v>393</v>
      </c>
      <c r="E40" s="169" t="s">
        <v>324</v>
      </c>
      <c r="F40" s="169" t="s">
        <v>394</v>
      </c>
      <c r="G40" s="170" t="n">
        <v>46203</v>
      </c>
      <c r="H40" s="168" t="s">
        <v>19</v>
      </c>
      <c r="I40" s="171" t="n">
        <f aca="false">IFERROR(ROUND((ReportDate-G40)/365.25,2),"")</f>
        <v>-0.14</v>
      </c>
      <c r="J40" s="170" t="n">
        <v>46188</v>
      </c>
      <c r="K40" s="168"/>
    </row>
    <row r="41" customFormat="false" ht="15" hidden="false" customHeight="false" outlineLevel="0" collapsed="false">
      <c r="A41" s="164" t="s">
        <v>395</v>
      </c>
      <c r="B41" s="165" t="s">
        <v>396</v>
      </c>
      <c r="C41" s="165" t="s">
        <v>16</v>
      </c>
      <c r="D41" s="165" t="s">
        <v>397</v>
      </c>
      <c r="E41" s="165" t="s">
        <v>336</v>
      </c>
      <c r="F41" s="165" t="s">
        <v>337</v>
      </c>
      <c r="G41" s="166" t="n">
        <v>46072</v>
      </c>
      <c r="H41" s="164" t="s">
        <v>386</v>
      </c>
      <c r="I41" s="167" t="n">
        <f aca="false">IFERROR(ROUND((ReportDate-G41)/365.25,2),"")</f>
        <v>0.22</v>
      </c>
      <c r="J41" s="164"/>
      <c r="K41" s="164"/>
    </row>
    <row r="42" customFormat="false" ht="15" hidden="false" customHeight="false" outlineLevel="0" collapsed="false">
      <c r="A42" s="168" t="s">
        <v>84</v>
      </c>
      <c r="B42" s="169" t="s">
        <v>85</v>
      </c>
      <c r="C42" s="169" t="s">
        <v>16</v>
      </c>
      <c r="D42" s="169" t="s">
        <v>398</v>
      </c>
      <c r="E42" s="169" t="s">
        <v>336</v>
      </c>
      <c r="F42" s="169" t="s">
        <v>299</v>
      </c>
      <c r="G42" s="170" t="n">
        <v>45992</v>
      </c>
      <c r="H42" s="168" t="s">
        <v>386</v>
      </c>
      <c r="I42" s="171" t="n">
        <f aca="false">IFERROR(ROUND((ReportDate-G42)/365.25,2),"")</f>
        <v>0.44</v>
      </c>
      <c r="J42" s="168"/>
      <c r="K42" s="168"/>
    </row>
    <row r="43" customFormat="false" ht="15" hidden="false" customHeight="false" outlineLevel="0" collapsed="false">
      <c r="A43" s="164" t="s">
        <v>399</v>
      </c>
      <c r="B43" s="165" t="s">
        <v>400</v>
      </c>
      <c r="C43" s="165" t="s">
        <v>16</v>
      </c>
      <c r="D43" s="165" t="s">
        <v>397</v>
      </c>
      <c r="E43" s="165" t="s">
        <v>333</v>
      </c>
      <c r="F43" s="165" t="s">
        <v>401</v>
      </c>
      <c r="G43" s="166" t="n">
        <v>44682</v>
      </c>
      <c r="H43" s="164" t="s">
        <v>17</v>
      </c>
      <c r="I43" s="167" t="n">
        <f aca="false">IFERROR(ROUND((ReportDate-G43)/365.25,2),"")</f>
        <v>4.03</v>
      </c>
      <c r="J43" s="164"/>
      <c r="K43" s="164"/>
    </row>
    <row r="44" customFormat="false" ht="15" hidden="false" customHeight="false" outlineLevel="0" collapsed="false">
      <c r="A44" s="168" t="s">
        <v>402</v>
      </c>
      <c r="B44" s="169" t="s">
        <v>403</v>
      </c>
      <c r="C44" s="169" t="s">
        <v>16</v>
      </c>
      <c r="D44" s="169" t="s">
        <v>397</v>
      </c>
      <c r="E44" s="169" t="s">
        <v>333</v>
      </c>
      <c r="F44" s="169" t="s">
        <v>401</v>
      </c>
      <c r="G44" s="170" t="n">
        <v>45614</v>
      </c>
      <c r="H44" s="168" t="s">
        <v>17</v>
      </c>
      <c r="I44" s="171" t="n">
        <f aca="false">IFERROR(ROUND((ReportDate-G44)/365.25,2),"")</f>
        <v>1.48</v>
      </c>
      <c r="J44" s="168"/>
      <c r="K44" s="168"/>
    </row>
    <row r="45" customFormat="false" ht="15" hidden="false" customHeight="false" outlineLevel="0" collapsed="false">
      <c r="A45" s="164" t="s">
        <v>404</v>
      </c>
      <c r="B45" s="165" t="s">
        <v>405</v>
      </c>
      <c r="C45" s="165" t="s">
        <v>16</v>
      </c>
      <c r="D45" s="165" t="s">
        <v>398</v>
      </c>
      <c r="E45" s="165" t="s">
        <v>336</v>
      </c>
      <c r="F45" s="165" t="s">
        <v>406</v>
      </c>
      <c r="G45" s="166" t="n">
        <v>44832</v>
      </c>
      <c r="H45" s="164" t="s">
        <v>17</v>
      </c>
      <c r="I45" s="167" t="n">
        <f aca="false">IFERROR(ROUND((ReportDate-G45)/365.25,2),"")</f>
        <v>3.62</v>
      </c>
      <c r="J45" s="164"/>
      <c r="K45" s="164"/>
    </row>
    <row r="46" customFormat="false" ht="15" hidden="false" customHeight="false" outlineLevel="0" collapsed="false">
      <c r="A46" s="168" t="s">
        <v>72</v>
      </c>
      <c r="B46" s="169" t="s">
        <v>73</v>
      </c>
      <c r="C46" s="169" t="s">
        <v>16</v>
      </c>
      <c r="D46" s="169" t="s">
        <v>407</v>
      </c>
      <c r="E46" s="169" t="s">
        <v>333</v>
      </c>
      <c r="F46" s="169" t="s">
        <v>337</v>
      </c>
      <c r="G46" s="170" t="n">
        <v>45852</v>
      </c>
      <c r="H46" s="168" t="s">
        <v>19</v>
      </c>
      <c r="I46" s="171" t="n">
        <f aca="false">IFERROR(ROUND((ReportDate-G46)/365.25,2),"")</f>
        <v>0.82</v>
      </c>
      <c r="J46" s="170" t="n">
        <v>46185</v>
      </c>
      <c r="K46" s="168"/>
    </row>
    <row r="47" customFormat="false" ht="15" hidden="false" customHeight="false" outlineLevel="0" collapsed="false">
      <c r="A47" s="164" t="s">
        <v>408</v>
      </c>
      <c r="B47" s="165" t="s">
        <v>409</v>
      </c>
      <c r="C47" s="165" t="s">
        <v>16</v>
      </c>
      <c r="D47" s="165" t="s">
        <v>407</v>
      </c>
      <c r="E47" s="165" t="s">
        <v>336</v>
      </c>
      <c r="F47" s="165" t="s">
        <v>299</v>
      </c>
      <c r="G47" s="166" t="n">
        <v>45713</v>
      </c>
      <c r="H47" s="164" t="s">
        <v>19</v>
      </c>
      <c r="I47" s="167" t="n">
        <f aca="false">IFERROR(ROUND((ReportDate-G47)/365.25,2),"")</f>
        <v>1.2</v>
      </c>
      <c r="J47" s="166" t="n">
        <v>45889</v>
      </c>
      <c r="K47" s="164"/>
    </row>
    <row r="48" customFormat="false" ht="15" hidden="false" customHeight="false" outlineLevel="0" collapsed="false">
      <c r="A48" s="168" t="s">
        <v>74</v>
      </c>
      <c r="B48" s="169" t="s">
        <v>75</v>
      </c>
      <c r="C48" s="169" t="s">
        <v>20</v>
      </c>
      <c r="D48" s="169" t="s">
        <v>410</v>
      </c>
      <c r="E48" s="169" t="s">
        <v>343</v>
      </c>
      <c r="F48" s="169" t="s">
        <v>346</v>
      </c>
      <c r="G48" s="170" t="n">
        <v>45985</v>
      </c>
      <c r="H48" s="168" t="s">
        <v>386</v>
      </c>
      <c r="I48" s="171" t="n">
        <f aca="false">IFERROR(ROUND((ReportDate-G48)/365.25,2),"")</f>
        <v>0.46</v>
      </c>
      <c r="J48" s="168"/>
      <c r="K48" s="168"/>
    </row>
    <row r="49" customFormat="false" ht="15" hidden="false" customHeight="false" outlineLevel="0" collapsed="false">
      <c r="A49" s="164" t="s">
        <v>62</v>
      </c>
      <c r="B49" s="165" t="s">
        <v>63</v>
      </c>
      <c r="C49" s="165" t="s">
        <v>20</v>
      </c>
      <c r="D49" s="165" t="s">
        <v>410</v>
      </c>
      <c r="E49" s="165" t="s">
        <v>339</v>
      </c>
      <c r="F49" s="165" t="s">
        <v>341</v>
      </c>
      <c r="G49" s="166" t="n">
        <v>45975</v>
      </c>
      <c r="H49" s="164" t="s">
        <v>386</v>
      </c>
      <c r="I49" s="167" t="n">
        <f aca="false">IFERROR(ROUND((ReportDate-G49)/365.25,2),"")</f>
        <v>0.49</v>
      </c>
      <c r="J49" s="164"/>
      <c r="K49" s="164"/>
    </row>
    <row r="50" customFormat="false" ht="15" hidden="false" customHeight="false" outlineLevel="0" collapsed="false">
      <c r="A50" s="168" t="s">
        <v>411</v>
      </c>
      <c r="B50" s="169" t="s">
        <v>412</v>
      </c>
      <c r="C50" s="169" t="s">
        <v>20</v>
      </c>
      <c r="D50" s="169" t="s">
        <v>413</v>
      </c>
      <c r="E50" s="169" t="s">
        <v>343</v>
      </c>
      <c r="F50" s="169" t="s">
        <v>341</v>
      </c>
      <c r="G50" s="170" t="n">
        <v>44592</v>
      </c>
      <c r="H50" s="168" t="s">
        <v>17</v>
      </c>
      <c r="I50" s="171" t="n">
        <f aca="false">IFERROR(ROUND((ReportDate-G50)/365.25,2),"")</f>
        <v>4.27</v>
      </c>
      <c r="J50" s="168"/>
      <c r="K50" s="168"/>
    </row>
    <row r="51" customFormat="false" ht="15" hidden="false" customHeight="false" outlineLevel="0" collapsed="false">
      <c r="A51" s="164" t="s">
        <v>414</v>
      </c>
      <c r="B51" s="165" t="s">
        <v>415</v>
      </c>
      <c r="C51" s="165" t="s">
        <v>20</v>
      </c>
      <c r="D51" s="165" t="s">
        <v>413</v>
      </c>
      <c r="E51" s="165" t="s">
        <v>339</v>
      </c>
      <c r="F51" s="165" t="s">
        <v>416</v>
      </c>
      <c r="G51" s="166" t="n">
        <v>45547</v>
      </c>
      <c r="H51" s="164" t="s">
        <v>17</v>
      </c>
      <c r="I51" s="167" t="n">
        <f aca="false">IFERROR(ROUND((ReportDate-G51)/365.25,2),"")</f>
        <v>1.66</v>
      </c>
      <c r="J51" s="164"/>
      <c r="K51" s="164"/>
    </row>
    <row r="52" customFormat="false" ht="15" hidden="false" customHeight="false" outlineLevel="0" collapsed="false">
      <c r="A52" s="168" t="s">
        <v>76</v>
      </c>
      <c r="B52" s="169" t="s">
        <v>77</v>
      </c>
      <c r="C52" s="169" t="s">
        <v>20</v>
      </c>
      <c r="D52" s="169" t="s">
        <v>417</v>
      </c>
      <c r="E52" s="169" t="s">
        <v>339</v>
      </c>
      <c r="F52" s="169" t="s">
        <v>418</v>
      </c>
      <c r="G52" s="170" t="n">
        <v>45660</v>
      </c>
      <c r="H52" s="168" t="s">
        <v>19</v>
      </c>
      <c r="I52" s="171" t="n">
        <f aca="false">IFERROR(ROUND((ReportDate-G52)/365.25,2),"")</f>
        <v>1.35</v>
      </c>
      <c r="J52" s="170" t="n">
        <v>46187</v>
      </c>
      <c r="K52" s="168"/>
    </row>
    <row r="53" customFormat="false" ht="15" hidden="false" customHeight="false" outlineLevel="0" collapsed="false">
      <c r="A53" s="164" t="s">
        <v>56</v>
      </c>
      <c r="B53" s="165" t="s">
        <v>57</v>
      </c>
      <c r="C53" s="165" t="s">
        <v>20</v>
      </c>
      <c r="D53" s="165" t="s">
        <v>417</v>
      </c>
      <c r="E53" s="165" t="s">
        <v>343</v>
      </c>
      <c r="F53" s="165" t="s">
        <v>302</v>
      </c>
      <c r="G53" s="166" t="n">
        <v>45816</v>
      </c>
      <c r="H53" s="164" t="s">
        <v>19</v>
      </c>
      <c r="I53" s="167" t="n">
        <f aca="false">IFERROR(ROUND((ReportDate-G53)/365.25,2),"")</f>
        <v>0.92</v>
      </c>
      <c r="J53" s="166" t="n">
        <v>46161</v>
      </c>
      <c r="K53" s="164"/>
    </row>
    <row r="54" customFormat="false" ht="15" hidden="false" customHeight="false" outlineLevel="0" collapsed="false">
      <c r="A54" s="168" t="s">
        <v>78</v>
      </c>
      <c r="B54" s="169" t="s">
        <v>79</v>
      </c>
      <c r="C54" s="169" t="s">
        <v>21</v>
      </c>
      <c r="D54" s="169" t="s">
        <v>419</v>
      </c>
      <c r="E54" s="169" t="s">
        <v>164</v>
      </c>
      <c r="F54" s="169" t="s">
        <v>420</v>
      </c>
      <c r="G54" s="170" t="n">
        <v>45987</v>
      </c>
      <c r="H54" s="168" t="s">
        <v>386</v>
      </c>
      <c r="I54" s="171" t="n">
        <f aca="false">IFERROR(ROUND((ReportDate-G54)/365.25,2),"")</f>
        <v>0.45</v>
      </c>
      <c r="J54" s="168"/>
      <c r="K54" s="168"/>
    </row>
    <row r="55" customFormat="false" ht="15" hidden="false" customHeight="false" outlineLevel="0" collapsed="false">
      <c r="A55" s="164" t="s">
        <v>90</v>
      </c>
      <c r="B55" s="165" t="s">
        <v>91</v>
      </c>
      <c r="C55" s="165" t="s">
        <v>21</v>
      </c>
      <c r="D55" s="165" t="s">
        <v>419</v>
      </c>
      <c r="E55" s="165" t="s">
        <v>164</v>
      </c>
      <c r="F55" s="165" t="s">
        <v>306</v>
      </c>
      <c r="G55" s="166" t="n">
        <v>45997</v>
      </c>
      <c r="H55" s="164" t="s">
        <v>386</v>
      </c>
      <c r="I55" s="167" t="n">
        <f aca="false">IFERROR(ROUND((ReportDate-G55)/365.25,2),"")</f>
        <v>0.43</v>
      </c>
      <c r="J55" s="164"/>
      <c r="K55" s="164"/>
    </row>
    <row r="56" customFormat="false" ht="15" hidden="false" customHeight="false" outlineLevel="0" collapsed="false">
      <c r="A56" s="168" t="s">
        <v>421</v>
      </c>
      <c r="B56" s="169" t="s">
        <v>422</v>
      </c>
      <c r="C56" s="169" t="s">
        <v>21</v>
      </c>
      <c r="D56" s="169" t="s">
        <v>419</v>
      </c>
      <c r="E56" s="169" t="s">
        <v>164</v>
      </c>
      <c r="F56" s="169" t="s">
        <v>420</v>
      </c>
      <c r="G56" s="170" t="n">
        <v>44807</v>
      </c>
      <c r="H56" s="168" t="s">
        <v>17</v>
      </c>
      <c r="I56" s="171" t="n">
        <f aca="false">IFERROR(ROUND((ReportDate-G56)/365.25,2),"")</f>
        <v>3.69</v>
      </c>
      <c r="J56" s="168"/>
      <c r="K56" s="168"/>
    </row>
    <row r="57" customFormat="false" ht="15" hidden="false" customHeight="false" outlineLevel="0" collapsed="false">
      <c r="A57" s="164" t="s">
        <v>423</v>
      </c>
      <c r="B57" s="165" t="s">
        <v>424</v>
      </c>
      <c r="C57" s="165" t="s">
        <v>21</v>
      </c>
      <c r="D57" s="165" t="s">
        <v>419</v>
      </c>
      <c r="E57" s="165" t="s">
        <v>348</v>
      </c>
      <c r="F57" s="165" t="s">
        <v>420</v>
      </c>
      <c r="G57" s="166" t="n">
        <v>45420</v>
      </c>
      <c r="H57" s="164" t="s">
        <v>17</v>
      </c>
      <c r="I57" s="167" t="n">
        <f aca="false">IFERROR(ROUND((ReportDate-G57)/365.25,2),"")</f>
        <v>2.01</v>
      </c>
      <c r="J57" s="164"/>
      <c r="K57" s="164"/>
    </row>
    <row r="58" customFormat="false" ht="15" hidden="false" customHeight="false" outlineLevel="0" collapsed="false">
      <c r="A58" s="168" t="s">
        <v>425</v>
      </c>
      <c r="B58" s="169" t="s">
        <v>426</v>
      </c>
      <c r="C58" s="169" t="s">
        <v>21</v>
      </c>
      <c r="D58" s="169" t="s">
        <v>427</v>
      </c>
      <c r="E58" s="169" t="s">
        <v>164</v>
      </c>
      <c r="F58" s="169" t="s">
        <v>354</v>
      </c>
      <c r="G58" s="170" t="n">
        <v>45205</v>
      </c>
      <c r="H58" s="168" t="s">
        <v>17</v>
      </c>
      <c r="I58" s="171" t="n">
        <f aca="false">IFERROR(ROUND((ReportDate-G58)/365.25,2),"")</f>
        <v>2.6</v>
      </c>
      <c r="J58" s="168"/>
      <c r="K58" s="168"/>
    </row>
    <row r="59" customFormat="false" ht="15" hidden="false" customHeight="false" outlineLevel="0" collapsed="false">
      <c r="A59" s="164" t="s">
        <v>428</v>
      </c>
      <c r="B59" s="165" t="s">
        <v>132</v>
      </c>
      <c r="C59" s="165" t="s">
        <v>21</v>
      </c>
      <c r="D59" s="165" t="s">
        <v>427</v>
      </c>
      <c r="E59" s="165" t="s">
        <v>352</v>
      </c>
      <c r="F59" s="165" t="s">
        <v>350</v>
      </c>
      <c r="G59" s="166" t="n">
        <v>45498</v>
      </c>
      <c r="H59" s="164" t="s">
        <v>17</v>
      </c>
      <c r="I59" s="167" t="n">
        <f aca="false">IFERROR(ROUND((ReportDate-G59)/365.25,2),"")</f>
        <v>1.79</v>
      </c>
      <c r="J59" s="164"/>
      <c r="K59" s="164"/>
    </row>
    <row r="60" customFormat="false" ht="15" hidden="false" customHeight="false" outlineLevel="0" collapsed="false">
      <c r="A60" s="168" t="s">
        <v>64</v>
      </c>
      <c r="B60" s="169" t="s">
        <v>65</v>
      </c>
      <c r="C60" s="169" t="s">
        <v>21</v>
      </c>
      <c r="D60" s="169" t="s">
        <v>429</v>
      </c>
      <c r="E60" s="169" t="s">
        <v>348</v>
      </c>
      <c r="F60" s="169" t="s">
        <v>420</v>
      </c>
      <c r="G60" s="170" t="n">
        <v>46234</v>
      </c>
      <c r="H60" s="168" t="s">
        <v>19</v>
      </c>
      <c r="I60" s="171" t="n">
        <f aca="false">IFERROR(ROUND((ReportDate-G60)/365.25,2),"")</f>
        <v>-0.22</v>
      </c>
      <c r="J60" s="170" t="n">
        <v>46171</v>
      </c>
      <c r="K60" s="168"/>
    </row>
    <row r="61" customFormat="false" ht="15" hidden="false" customHeight="false" outlineLevel="0" collapsed="false">
      <c r="A61" s="164" t="s">
        <v>92</v>
      </c>
      <c r="B61" s="165" t="s">
        <v>93</v>
      </c>
      <c r="C61" s="165" t="s">
        <v>22</v>
      </c>
      <c r="D61" s="165" t="s">
        <v>430</v>
      </c>
      <c r="E61" s="165" t="s">
        <v>356</v>
      </c>
      <c r="F61" s="165" t="s">
        <v>362</v>
      </c>
      <c r="G61" s="166" t="n">
        <v>45997</v>
      </c>
      <c r="H61" s="164" t="s">
        <v>386</v>
      </c>
      <c r="I61" s="167" t="n">
        <f aca="false">IFERROR(ROUND((ReportDate-G61)/365.25,2),"")</f>
        <v>0.43</v>
      </c>
      <c r="J61" s="164"/>
      <c r="K61" s="164"/>
    </row>
    <row r="62" customFormat="false" ht="15" hidden="false" customHeight="false" outlineLevel="0" collapsed="false">
      <c r="A62" s="168" t="s">
        <v>70</v>
      </c>
      <c r="B62" s="169" t="s">
        <v>71</v>
      </c>
      <c r="C62" s="169" t="s">
        <v>22</v>
      </c>
      <c r="D62" s="169" t="s">
        <v>430</v>
      </c>
      <c r="E62" s="169" t="s">
        <v>361</v>
      </c>
      <c r="F62" s="169" t="s">
        <v>310</v>
      </c>
      <c r="G62" s="170" t="n">
        <v>45976</v>
      </c>
      <c r="H62" s="168" t="s">
        <v>386</v>
      </c>
      <c r="I62" s="171" t="n">
        <f aca="false">IFERROR(ROUND((ReportDate-G62)/365.25,2),"")</f>
        <v>0.48</v>
      </c>
      <c r="J62" s="168"/>
      <c r="K62" s="168"/>
    </row>
    <row r="63" customFormat="false" ht="15" hidden="false" customHeight="false" outlineLevel="0" collapsed="false">
      <c r="A63" s="164" t="s">
        <v>431</v>
      </c>
      <c r="B63" s="165" t="s">
        <v>432</v>
      </c>
      <c r="C63" s="165" t="s">
        <v>22</v>
      </c>
      <c r="D63" s="165" t="s">
        <v>433</v>
      </c>
      <c r="E63" s="165" t="s">
        <v>79</v>
      </c>
      <c r="F63" s="165" t="s">
        <v>434</v>
      </c>
      <c r="G63" s="166" t="n">
        <v>44798</v>
      </c>
      <c r="H63" s="164" t="s">
        <v>17</v>
      </c>
      <c r="I63" s="167" t="n">
        <f aca="false">IFERROR(ROUND((ReportDate-G63)/365.25,2),"")</f>
        <v>3.71</v>
      </c>
      <c r="J63" s="164"/>
      <c r="K63" s="164"/>
    </row>
    <row r="64" customFormat="false" ht="15" hidden="false" customHeight="false" outlineLevel="0" collapsed="false">
      <c r="A64" s="168" t="s">
        <v>435</v>
      </c>
      <c r="B64" s="169" t="s">
        <v>436</v>
      </c>
      <c r="C64" s="169" t="s">
        <v>22</v>
      </c>
      <c r="D64" s="169" t="s">
        <v>433</v>
      </c>
      <c r="E64" s="169" t="s">
        <v>361</v>
      </c>
      <c r="F64" s="169" t="s">
        <v>437</v>
      </c>
      <c r="G64" s="170" t="n">
        <v>44993</v>
      </c>
      <c r="H64" s="168" t="s">
        <v>17</v>
      </c>
      <c r="I64" s="171" t="n">
        <f aca="false">IFERROR(ROUND((ReportDate-G64)/365.25,2),"")</f>
        <v>3.18</v>
      </c>
      <c r="J64" s="168"/>
      <c r="K64" s="168"/>
    </row>
    <row r="65" customFormat="false" ht="15" hidden="false" customHeight="false" outlineLevel="0" collapsed="false">
      <c r="A65" s="164" t="s">
        <v>438</v>
      </c>
      <c r="B65" s="165" t="s">
        <v>439</v>
      </c>
      <c r="C65" s="165" t="s">
        <v>22</v>
      </c>
      <c r="D65" s="165" t="s">
        <v>430</v>
      </c>
      <c r="E65" s="165" t="s">
        <v>356</v>
      </c>
      <c r="F65" s="165" t="s">
        <v>434</v>
      </c>
      <c r="G65" s="166" t="n">
        <v>45076</v>
      </c>
      <c r="H65" s="164" t="s">
        <v>17</v>
      </c>
      <c r="I65" s="167" t="n">
        <f aca="false">IFERROR(ROUND((ReportDate-G65)/365.25,2),"")</f>
        <v>2.95</v>
      </c>
      <c r="J65" s="164"/>
      <c r="K65" s="164"/>
    </row>
    <row r="66" customFormat="false" ht="15" hidden="false" customHeight="false" outlineLevel="0" collapsed="false">
      <c r="A66" s="168" t="s">
        <v>60</v>
      </c>
      <c r="B66" s="169" t="s">
        <v>61</v>
      </c>
      <c r="C66" s="169" t="s">
        <v>22</v>
      </c>
      <c r="D66" s="169" t="s">
        <v>440</v>
      </c>
      <c r="E66" s="169" t="s">
        <v>361</v>
      </c>
      <c r="F66" s="169" t="s">
        <v>437</v>
      </c>
      <c r="G66" s="170" t="n">
        <v>45703</v>
      </c>
      <c r="H66" s="168" t="s">
        <v>19</v>
      </c>
      <c r="I66" s="171" t="n">
        <f aca="false">IFERROR(ROUND((ReportDate-G66)/365.25,2),"")</f>
        <v>1.23</v>
      </c>
      <c r="J66" s="170" t="n">
        <v>46166</v>
      </c>
      <c r="K66" s="168"/>
    </row>
    <row r="67" customFormat="false" ht="15" hidden="false" customHeight="false" outlineLevel="0" collapsed="false">
      <c r="A67" s="164" t="s">
        <v>58</v>
      </c>
      <c r="B67" s="165" t="s">
        <v>59</v>
      </c>
      <c r="C67" s="165" t="s">
        <v>23</v>
      </c>
      <c r="D67" s="165" t="s">
        <v>441</v>
      </c>
      <c r="E67" s="165" t="s">
        <v>119</v>
      </c>
      <c r="F67" s="165" t="s">
        <v>442</v>
      </c>
      <c r="G67" s="166" t="n">
        <v>45974</v>
      </c>
      <c r="H67" s="164" t="s">
        <v>386</v>
      </c>
      <c r="I67" s="167" t="n">
        <f aca="false">IFERROR(ROUND((ReportDate-G67)/365.25,2),"")</f>
        <v>0.49</v>
      </c>
      <c r="J67" s="164"/>
      <c r="K67" s="164"/>
    </row>
    <row r="68" customFormat="false" ht="15" hidden="false" customHeight="false" outlineLevel="0" collapsed="false">
      <c r="A68" s="168" t="s">
        <v>94</v>
      </c>
      <c r="B68" s="169" t="s">
        <v>95</v>
      </c>
      <c r="C68" s="169" t="s">
        <v>23</v>
      </c>
      <c r="D68" s="169" t="s">
        <v>441</v>
      </c>
      <c r="E68" s="169" t="s">
        <v>364</v>
      </c>
      <c r="F68" s="169" t="s">
        <v>443</v>
      </c>
      <c r="G68" s="170" t="n">
        <v>45998</v>
      </c>
      <c r="H68" s="168" t="s">
        <v>386</v>
      </c>
      <c r="I68" s="171" t="n">
        <f aca="false">IFERROR(ROUND((ReportDate-G68)/365.25,2),"")</f>
        <v>0.42</v>
      </c>
      <c r="J68" s="168"/>
      <c r="K68" s="168"/>
    </row>
    <row r="69" customFormat="false" ht="15" hidden="false" customHeight="false" outlineLevel="0" collapsed="false">
      <c r="A69" s="164" t="s">
        <v>444</v>
      </c>
      <c r="B69" s="165" t="s">
        <v>445</v>
      </c>
      <c r="C69" s="165" t="s">
        <v>23</v>
      </c>
      <c r="D69" s="165" t="s">
        <v>441</v>
      </c>
      <c r="E69" s="165" t="s">
        <v>119</v>
      </c>
      <c r="F69" s="165" t="s">
        <v>442</v>
      </c>
      <c r="G69" s="166" t="n">
        <v>44992</v>
      </c>
      <c r="H69" s="164" t="s">
        <v>17</v>
      </c>
      <c r="I69" s="167" t="n">
        <f aca="false">IFERROR(ROUND((ReportDate-G69)/365.25,2),"")</f>
        <v>3.18</v>
      </c>
      <c r="J69" s="164"/>
      <c r="K69" s="164"/>
    </row>
    <row r="70" customFormat="false" ht="15" hidden="false" customHeight="false" outlineLevel="0" collapsed="false">
      <c r="A70" s="168" t="s">
        <v>446</v>
      </c>
      <c r="B70" s="169" t="s">
        <v>134</v>
      </c>
      <c r="C70" s="169" t="s">
        <v>23</v>
      </c>
      <c r="D70" s="169" t="s">
        <v>441</v>
      </c>
      <c r="E70" s="169" t="s">
        <v>364</v>
      </c>
      <c r="F70" s="169" t="s">
        <v>442</v>
      </c>
      <c r="G70" s="170" t="n">
        <v>44878</v>
      </c>
      <c r="H70" s="168" t="s">
        <v>17</v>
      </c>
      <c r="I70" s="171" t="n">
        <f aca="false">IFERROR(ROUND((ReportDate-G70)/365.25,2),"")</f>
        <v>3.49</v>
      </c>
      <c r="J70" s="168"/>
      <c r="K70" s="168"/>
    </row>
    <row r="71" customFormat="false" ht="15" hidden="false" customHeight="false" outlineLevel="0" collapsed="false">
      <c r="A71" s="164" t="s">
        <v>447</v>
      </c>
      <c r="B71" s="165" t="s">
        <v>448</v>
      </c>
      <c r="C71" s="165" t="s">
        <v>23</v>
      </c>
      <c r="D71" s="165" t="s">
        <v>449</v>
      </c>
      <c r="E71" s="165" t="s">
        <v>364</v>
      </c>
      <c r="F71" s="165" t="s">
        <v>368</v>
      </c>
      <c r="G71" s="166" t="n">
        <v>45841</v>
      </c>
      <c r="H71" s="164" t="s">
        <v>19</v>
      </c>
      <c r="I71" s="167" t="n">
        <f aca="false">IFERROR(ROUND((ReportDate-G71)/365.25,2),"")</f>
        <v>0.85</v>
      </c>
      <c r="J71" s="166" t="n">
        <v>45973</v>
      </c>
      <c r="K71" s="164"/>
    </row>
    <row r="72" customFormat="false" ht="15" hidden="false" customHeight="false" outlineLevel="0" collapsed="false">
      <c r="A72" s="168" t="s">
        <v>158</v>
      </c>
      <c r="B72" s="169" t="s">
        <v>128</v>
      </c>
      <c r="C72" s="169" t="s">
        <v>24</v>
      </c>
      <c r="D72" s="169" t="s">
        <v>450</v>
      </c>
      <c r="E72" s="169" t="s">
        <v>297</v>
      </c>
      <c r="F72" s="169" t="s">
        <v>374</v>
      </c>
      <c r="G72" s="170" t="n">
        <v>46110</v>
      </c>
      <c r="H72" s="168" t="s">
        <v>386</v>
      </c>
      <c r="I72" s="171" t="n">
        <f aca="false">IFERROR(ROUND((ReportDate-G72)/365.25,2),"")</f>
        <v>0.12</v>
      </c>
      <c r="J72" s="168"/>
      <c r="K72" s="168"/>
    </row>
    <row r="73" customFormat="false" ht="15" hidden="false" customHeight="false" outlineLevel="0" collapsed="false">
      <c r="A73" s="164" t="s">
        <v>159</v>
      </c>
      <c r="B73" s="165" t="s">
        <v>160</v>
      </c>
      <c r="C73" s="165" t="s">
        <v>24</v>
      </c>
      <c r="D73" s="165" t="s">
        <v>451</v>
      </c>
      <c r="E73" s="165" t="s">
        <v>370</v>
      </c>
      <c r="F73" s="165" t="s">
        <v>318</v>
      </c>
      <c r="G73" s="166" t="n">
        <v>46065</v>
      </c>
      <c r="H73" s="164" t="s">
        <v>386</v>
      </c>
      <c r="I73" s="167" t="n">
        <f aca="false">IFERROR(ROUND((ReportDate-G73)/365.25,2),"")</f>
        <v>0.24</v>
      </c>
      <c r="J73" s="164"/>
      <c r="K73" s="164"/>
    </row>
    <row r="74" customFormat="false" ht="15" hidden="false" customHeight="false" outlineLevel="0" collapsed="false">
      <c r="A74" s="168" t="s">
        <v>452</v>
      </c>
      <c r="B74" s="169" t="s">
        <v>453</v>
      </c>
      <c r="C74" s="169" t="s">
        <v>24</v>
      </c>
      <c r="D74" s="169" t="s">
        <v>450</v>
      </c>
      <c r="E74" s="169" t="s">
        <v>373</v>
      </c>
      <c r="F74" s="169" t="s">
        <v>374</v>
      </c>
      <c r="G74" s="170" t="n">
        <v>44957</v>
      </c>
      <c r="H74" s="168" t="s">
        <v>17</v>
      </c>
      <c r="I74" s="171" t="n">
        <f aca="false">IFERROR(ROUND((ReportDate-G74)/365.25,2),"")</f>
        <v>3.27</v>
      </c>
      <c r="J74" s="168"/>
      <c r="K74" s="168"/>
    </row>
    <row r="75" customFormat="false" ht="15" hidden="false" customHeight="false" outlineLevel="0" collapsed="false">
      <c r="A75" s="164" t="s">
        <v>454</v>
      </c>
      <c r="B75" s="165" t="s">
        <v>455</v>
      </c>
      <c r="C75" s="165" t="s">
        <v>24</v>
      </c>
      <c r="D75" s="165" t="s">
        <v>451</v>
      </c>
      <c r="E75" s="165" t="s">
        <v>373</v>
      </c>
      <c r="F75" s="165" t="s">
        <v>374</v>
      </c>
      <c r="G75" s="166" t="n">
        <v>45281</v>
      </c>
      <c r="H75" s="164" t="s">
        <v>17</v>
      </c>
      <c r="I75" s="167" t="n">
        <f aca="false">IFERROR(ROUND((ReportDate-G75)/365.25,2),"")</f>
        <v>2.39</v>
      </c>
      <c r="J75" s="164"/>
      <c r="K75" s="164"/>
    </row>
    <row r="76" customFormat="false" ht="15" hidden="false" customHeight="false" outlineLevel="0" collapsed="false">
      <c r="A76" s="168" t="s">
        <v>456</v>
      </c>
      <c r="B76" s="169" t="s">
        <v>69</v>
      </c>
      <c r="C76" s="169" t="s">
        <v>24</v>
      </c>
      <c r="D76" s="169" t="s">
        <v>451</v>
      </c>
      <c r="E76" s="169" t="s">
        <v>297</v>
      </c>
      <c r="F76" s="169" t="s">
        <v>457</v>
      </c>
      <c r="G76" s="170" t="n">
        <v>45096</v>
      </c>
      <c r="H76" s="168" t="s">
        <v>17</v>
      </c>
      <c r="I76" s="171" t="n">
        <f aca="false">IFERROR(ROUND((ReportDate-G76)/365.25,2),"")</f>
        <v>2.89</v>
      </c>
      <c r="J76" s="168"/>
      <c r="K76" s="168"/>
    </row>
    <row r="77" customFormat="false" ht="15" hidden="false" customHeight="false" outlineLevel="0" collapsed="false">
      <c r="A77" s="164" t="s">
        <v>458</v>
      </c>
      <c r="B77" s="165" t="s">
        <v>459</v>
      </c>
      <c r="C77" s="165" t="s">
        <v>24</v>
      </c>
      <c r="D77" s="165" t="s">
        <v>451</v>
      </c>
      <c r="E77" s="165" t="s">
        <v>297</v>
      </c>
      <c r="F77" s="165" t="s">
        <v>318</v>
      </c>
      <c r="G77" s="166" t="n">
        <v>45451</v>
      </c>
      <c r="H77" s="164" t="s">
        <v>17</v>
      </c>
      <c r="I77" s="167" t="n">
        <f aca="false">IFERROR(ROUND((ReportDate-G77)/365.25,2),"")</f>
        <v>1.92</v>
      </c>
      <c r="J77" s="164"/>
      <c r="K77" s="164"/>
    </row>
    <row r="78" customFormat="false" ht="15" hidden="false" customHeight="false" outlineLevel="0" collapsed="false">
      <c r="A78" s="168" t="s">
        <v>460</v>
      </c>
      <c r="B78" s="169" t="s">
        <v>461</v>
      </c>
      <c r="C78" s="169" t="s">
        <v>24</v>
      </c>
      <c r="D78" s="169" t="s">
        <v>462</v>
      </c>
      <c r="E78" s="169" t="s">
        <v>373</v>
      </c>
      <c r="F78" s="169" t="s">
        <v>457</v>
      </c>
      <c r="G78" s="170" t="n">
        <v>45776</v>
      </c>
      <c r="H78" s="168" t="s">
        <v>19</v>
      </c>
      <c r="I78" s="171" t="n">
        <f aca="false">IFERROR(ROUND((ReportDate-G78)/365.25,2),"")</f>
        <v>1.03</v>
      </c>
      <c r="J78" s="170" t="n">
        <v>45915</v>
      </c>
      <c r="K78" s="168"/>
    </row>
    <row r="79" customFormat="false" ht="15" hidden="false" customHeight="false" outlineLevel="0" collapsed="false">
      <c r="A79" s="164" t="s">
        <v>463</v>
      </c>
      <c r="B79" s="165" t="s">
        <v>464</v>
      </c>
      <c r="C79" s="165" t="s">
        <v>24</v>
      </c>
      <c r="D79" s="165" t="s">
        <v>462</v>
      </c>
      <c r="E79" s="165" t="s">
        <v>373</v>
      </c>
      <c r="F79" s="165" t="s">
        <v>457</v>
      </c>
      <c r="G79" s="166" t="n">
        <v>45659</v>
      </c>
      <c r="H79" s="164" t="s">
        <v>19</v>
      </c>
      <c r="I79" s="167" t="n">
        <f aca="false">IFERROR(ROUND((ReportDate-G79)/365.25,2),"")</f>
        <v>1.35</v>
      </c>
      <c r="J79" s="166" t="n">
        <v>45815</v>
      </c>
      <c r="K79" s="164"/>
    </row>
    <row r="80" customFormat="false" ht="15" hidden="false" customHeight="false" outlineLevel="0" collapsed="false">
      <c r="A80" s="168" t="s">
        <v>66</v>
      </c>
      <c r="B80" s="169" t="s">
        <v>67</v>
      </c>
      <c r="C80" s="169" t="s">
        <v>25</v>
      </c>
      <c r="D80" s="169" t="s">
        <v>465</v>
      </c>
      <c r="E80" s="169" t="s">
        <v>380</v>
      </c>
      <c r="F80" s="169" t="s">
        <v>381</v>
      </c>
      <c r="G80" s="170" t="n">
        <v>45975</v>
      </c>
      <c r="H80" s="168" t="s">
        <v>386</v>
      </c>
      <c r="I80" s="171" t="n">
        <f aca="false">IFERROR(ROUND((ReportDate-G80)/365.25,2),"")</f>
        <v>0.49</v>
      </c>
      <c r="J80" s="168"/>
      <c r="K80" s="168"/>
    </row>
    <row r="81" customFormat="false" ht="15" hidden="false" customHeight="false" outlineLevel="0" collapsed="false">
      <c r="A81" s="164" t="s">
        <v>88</v>
      </c>
      <c r="B81" s="165" t="s">
        <v>89</v>
      </c>
      <c r="C81" s="165" t="s">
        <v>25</v>
      </c>
      <c r="D81" s="165" t="s">
        <v>466</v>
      </c>
      <c r="E81" s="165" t="s">
        <v>380</v>
      </c>
      <c r="F81" s="165" t="s">
        <v>302</v>
      </c>
      <c r="G81" s="166" t="n">
        <v>45993</v>
      </c>
      <c r="H81" s="164" t="s">
        <v>386</v>
      </c>
      <c r="I81" s="167" t="n">
        <f aca="false">IFERROR(ROUND((ReportDate-G81)/365.25,2),"")</f>
        <v>0.44</v>
      </c>
      <c r="J81" s="164"/>
      <c r="K81" s="164"/>
    </row>
    <row r="82" customFormat="false" ht="15" hidden="false" customHeight="false" outlineLevel="0" collapsed="false">
      <c r="A82" s="168" t="s">
        <v>467</v>
      </c>
      <c r="B82" s="169" t="s">
        <v>468</v>
      </c>
      <c r="C82" s="169" t="s">
        <v>25</v>
      </c>
      <c r="D82" s="169" t="s">
        <v>466</v>
      </c>
      <c r="E82" s="169" t="s">
        <v>377</v>
      </c>
      <c r="F82" s="169" t="s">
        <v>322</v>
      </c>
      <c r="G82" s="170" t="n">
        <v>45178</v>
      </c>
      <c r="H82" s="168" t="s">
        <v>17</v>
      </c>
      <c r="I82" s="171" t="n">
        <f aca="false">IFERROR(ROUND((ReportDate-G82)/365.25,2),"")</f>
        <v>2.67</v>
      </c>
      <c r="J82" s="168"/>
      <c r="K82" s="168"/>
    </row>
    <row r="83" customFormat="false" ht="15" hidden="false" customHeight="false" outlineLevel="0" collapsed="false">
      <c r="A83" s="164" t="s">
        <v>469</v>
      </c>
      <c r="B83" s="165" t="s">
        <v>470</v>
      </c>
      <c r="C83" s="165" t="s">
        <v>25</v>
      </c>
      <c r="D83" s="165" t="s">
        <v>466</v>
      </c>
      <c r="E83" s="165" t="s">
        <v>377</v>
      </c>
      <c r="F83" s="165" t="s">
        <v>471</v>
      </c>
      <c r="G83" s="166" t="n">
        <v>45442</v>
      </c>
      <c r="H83" s="164" t="s">
        <v>17</v>
      </c>
      <c r="I83" s="167" t="n">
        <f aca="false">IFERROR(ROUND((ReportDate-G83)/365.25,2),"")</f>
        <v>1.95</v>
      </c>
      <c r="J83" s="164"/>
      <c r="K83" s="164"/>
    </row>
    <row r="84" customFormat="false" ht="15" hidden="false" customHeight="false" outlineLevel="0" collapsed="false">
      <c r="A84" s="168" t="s">
        <v>472</v>
      </c>
      <c r="B84" s="169" t="s">
        <v>473</v>
      </c>
      <c r="C84" s="169" t="s">
        <v>25</v>
      </c>
      <c r="D84" s="169" t="s">
        <v>466</v>
      </c>
      <c r="E84" s="169" t="s">
        <v>380</v>
      </c>
      <c r="F84" s="169" t="s">
        <v>322</v>
      </c>
      <c r="G84" s="170" t="n">
        <v>45608</v>
      </c>
      <c r="H84" s="168" t="s">
        <v>17</v>
      </c>
      <c r="I84" s="171" t="n">
        <f aca="false">IFERROR(ROUND((ReportDate-G84)/365.25,2),"")</f>
        <v>1.49</v>
      </c>
      <c r="J84" s="168"/>
      <c r="K84" s="168"/>
    </row>
    <row r="85" customFormat="false" ht="15" hidden="false" customHeight="false" outlineLevel="0" collapsed="false">
      <c r="A85" s="164" t="s">
        <v>474</v>
      </c>
      <c r="B85" s="165" t="s">
        <v>475</v>
      </c>
      <c r="C85" s="165" t="s">
        <v>25</v>
      </c>
      <c r="D85" s="165" t="s">
        <v>476</v>
      </c>
      <c r="E85" s="165" t="s">
        <v>377</v>
      </c>
      <c r="F85" s="165" t="s">
        <v>381</v>
      </c>
      <c r="G85" s="166" t="n">
        <v>46337</v>
      </c>
      <c r="H85" s="164" t="s">
        <v>19</v>
      </c>
      <c r="I85" s="167" t="n">
        <f aca="false">IFERROR(ROUND((ReportDate-G85)/365.25,2),"")</f>
        <v>-0.5</v>
      </c>
      <c r="J85" s="166" t="n">
        <v>46508</v>
      </c>
      <c r="K85" s="164"/>
    </row>
  </sheetData>
  <autoFilter ref="A4:K85"/>
  <mergeCells count="2">
    <mergeCell ref="A1:K1"/>
    <mergeCell ref="A2:K2"/>
  </mergeCells>
  <conditionalFormatting sqref="H5:H85">
    <cfRule type="expression" priority="2" aboveAverage="0" equalAverage="0" bottom="0" percent="0" rank="0" text="" dxfId="17">
      <formula>$H5="Confirmed"</formula>
    </cfRule>
    <cfRule type="expression" priority="3" aboveAverage="0" equalAverage="0" bottom="0" percent="0" rank="0" text="" dxfId="18">
      <formula>$H5="Under Probation"</formula>
    </cfRule>
    <cfRule type="expression" priority="4" aboveAverage="0" equalAverage="0" bottom="0" percent="0" rank="0" text="" dxfId="19">
      <formula>$H5="Intern"</formula>
    </cfRule>
    <cfRule type="expression" priority="5" aboveAverage="0" equalAverage="0" bottom="0" percent="0" rank="0" text="" dxfId="20">
      <formula>$H5="Offboarded"</formula>
    </cfRule>
  </conditionalFormatting>
  <conditionalFormatting sqref="J5:J85">
    <cfRule type="expression" priority="6" aboveAverage="0" equalAverage="0" bottom="0" percent="0" rank="0" text="" dxfId="21">
      <formula>AND(J5&lt;&gt;"",J5-ReportDate&gt;=0,J5-ReportDate&lt;=InternAlertDays)</formula>
    </cfRule>
  </conditionalFormatting>
  <conditionalFormatting sqref="G5:G85">
    <cfRule type="expression" priority="7" aboveAverage="0" equalAverage="0" bottom="0" percent="0" rank="0" text="" dxfId="22">
      <formula>AND($H5="Under Probation",ProbationDays-(ReportDate-$G5)&gt;=0,ProbationDays-(ReportDate-$G5)&lt;=ProbationWindow)</formula>
    </cfRule>
  </conditionalFormatting>
  <dataValidations count="1">
    <dataValidation allowBlank="false" error="Status must be one of: Confirmed, Under Probation, Intern, Offboarded" errorStyle="stop" errorTitle="Invalid Status" operator="between" prompt="Select employee status" promptTitle="Status" showDropDown="false" showErrorMessage="false" showInputMessage="false" sqref="H5:H85" type="list">
      <formula1>"Confirmed,Under Probation,Intern,Offboarded"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161" t="s">
        <v>477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customFormat="false" ht="27.75" hidden="false" customHeight="true" outlineLevel="0" collapsed="false">
      <c r="A2" s="162" t="s">
        <v>478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</row>
    <row r="4" customFormat="false" ht="36" hidden="false" customHeight="true" outlineLevel="0" collapsed="false">
      <c r="A4" s="163" t="s">
        <v>282</v>
      </c>
      <c r="B4" s="163" t="s">
        <v>51</v>
      </c>
      <c r="C4" s="163" t="s">
        <v>10</v>
      </c>
      <c r="D4" s="163" t="s">
        <v>283</v>
      </c>
      <c r="E4" s="163" t="s">
        <v>284</v>
      </c>
      <c r="F4" s="163" t="s">
        <v>479</v>
      </c>
      <c r="G4" s="163" t="s">
        <v>285</v>
      </c>
      <c r="H4" s="163" t="s">
        <v>286</v>
      </c>
      <c r="I4" s="163" t="s">
        <v>287</v>
      </c>
      <c r="J4" s="163" t="s">
        <v>288</v>
      </c>
      <c r="K4" s="163" t="s">
        <v>289</v>
      </c>
      <c r="L4" s="163" t="s">
        <v>290</v>
      </c>
    </row>
    <row r="5" customFormat="false" ht="15" hidden="false" customHeight="false" outlineLevel="0" collapsed="false">
      <c r="A5" s="164" t="s">
        <v>480</v>
      </c>
      <c r="B5" s="165" t="s">
        <v>481</v>
      </c>
      <c r="C5" s="165" t="s">
        <v>15</v>
      </c>
      <c r="D5" s="165" t="s">
        <v>293</v>
      </c>
      <c r="E5" s="165" t="s">
        <v>294</v>
      </c>
      <c r="F5" s="172" t="n">
        <v>1</v>
      </c>
      <c r="G5" s="165" t="s">
        <v>392</v>
      </c>
      <c r="H5" s="166" t="n">
        <v>44021</v>
      </c>
      <c r="I5" s="164" t="s">
        <v>17</v>
      </c>
      <c r="J5" s="167" t="n">
        <f aca="false">IFERROR(ROUND((ReportDate-H5)/365.25,2),"")</f>
        <v>5.84</v>
      </c>
      <c r="K5" s="164"/>
      <c r="L5" s="164"/>
    </row>
    <row r="6" customFormat="false" ht="15" hidden="false" customHeight="false" outlineLevel="0" collapsed="false">
      <c r="A6" s="168" t="s">
        <v>482</v>
      </c>
      <c r="B6" s="169" t="s">
        <v>122</v>
      </c>
      <c r="C6" s="169" t="s">
        <v>16</v>
      </c>
      <c r="D6" s="169" t="s">
        <v>298</v>
      </c>
      <c r="E6" s="169" t="s">
        <v>294</v>
      </c>
      <c r="F6" s="173" t="n">
        <v>1</v>
      </c>
      <c r="G6" s="169" t="s">
        <v>299</v>
      </c>
      <c r="H6" s="170" t="n">
        <v>42464</v>
      </c>
      <c r="I6" s="168" t="s">
        <v>17</v>
      </c>
      <c r="J6" s="171" t="n">
        <f aca="false">IFERROR(ROUND((ReportDate-H6)/365.25,2),"")</f>
        <v>10.1</v>
      </c>
      <c r="K6" s="168"/>
      <c r="L6" s="168"/>
    </row>
    <row r="7" customFormat="false" ht="15" hidden="false" customHeight="false" outlineLevel="0" collapsed="false">
      <c r="A7" s="164" t="s">
        <v>483</v>
      </c>
      <c r="B7" s="165" t="s">
        <v>484</v>
      </c>
      <c r="C7" s="165" t="s">
        <v>20</v>
      </c>
      <c r="D7" s="165" t="s">
        <v>301</v>
      </c>
      <c r="E7" s="165" t="s">
        <v>294</v>
      </c>
      <c r="F7" s="172" t="n">
        <v>1</v>
      </c>
      <c r="G7" s="165" t="s">
        <v>302</v>
      </c>
      <c r="H7" s="166" t="n">
        <v>44110</v>
      </c>
      <c r="I7" s="164" t="s">
        <v>17</v>
      </c>
      <c r="J7" s="167" t="n">
        <f aca="false">IFERROR(ROUND((ReportDate-H7)/365.25,2),"")</f>
        <v>5.59</v>
      </c>
      <c r="K7" s="164"/>
      <c r="L7" s="164"/>
    </row>
    <row r="8" customFormat="false" ht="15" hidden="false" customHeight="false" outlineLevel="0" collapsed="false">
      <c r="A8" s="168" t="s">
        <v>485</v>
      </c>
      <c r="B8" s="169" t="s">
        <v>486</v>
      </c>
      <c r="C8" s="169" t="s">
        <v>21</v>
      </c>
      <c r="D8" s="169" t="s">
        <v>305</v>
      </c>
      <c r="E8" s="169" t="s">
        <v>294</v>
      </c>
      <c r="F8" s="173" t="n">
        <v>1</v>
      </c>
      <c r="G8" s="169" t="s">
        <v>487</v>
      </c>
      <c r="H8" s="170" t="n">
        <v>44184</v>
      </c>
      <c r="I8" s="168" t="s">
        <v>17</v>
      </c>
      <c r="J8" s="171" t="n">
        <f aca="false">IFERROR(ROUND((ReportDate-H8)/365.25,2),"")</f>
        <v>5.39</v>
      </c>
      <c r="K8" s="168"/>
      <c r="L8" s="168"/>
    </row>
    <row r="9" customFormat="false" ht="15" hidden="false" customHeight="false" outlineLevel="0" collapsed="false">
      <c r="A9" s="164" t="s">
        <v>488</v>
      </c>
      <c r="B9" s="165" t="s">
        <v>489</v>
      </c>
      <c r="C9" s="165" t="s">
        <v>22</v>
      </c>
      <c r="D9" s="165" t="s">
        <v>309</v>
      </c>
      <c r="E9" s="165" t="s">
        <v>294</v>
      </c>
      <c r="F9" s="172" t="n">
        <v>1</v>
      </c>
      <c r="G9" s="165" t="s">
        <v>362</v>
      </c>
      <c r="H9" s="166" t="n">
        <v>43382</v>
      </c>
      <c r="I9" s="164" t="s">
        <v>17</v>
      </c>
      <c r="J9" s="167" t="n">
        <f aca="false">IFERROR(ROUND((ReportDate-H9)/365.25,2),"")</f>
        <v>7.59</v>
      </c>
      <c r="K9" s="164"/>
      <c r="L9" s="164"/>
    </row>
    <row r="10" customFormat="false" ht="15" hidden="false" customHeight="false" outlineLevel="0" collapsed="false">
      <c r="A10" s="168" t="s">
        <v>490</v>
      </c>
      <c r="B10" s="169" t="s">
        <v>491</v>
      </c>
      <c r="C10" s="169" t="s">
        <v>23</v>
      </c>
      <c r="D10" s="169" t="s">
        <v>313</v>
      </c>
      <c r="E10" s="169" t="s">
        <v>294</v>
      </c>
      <c r="F10" s="173" t="n">
        <v>1</v>
      </c>
      <c r="G10" s="169" t="s">
        <v>442</v>
      </c>
      <c r="H10" s="170" t="n">
        <v>43713</v>
      </c>
      <c r="I10" s="168" t="s">
        <v>17</v>
      </c>
      <c r="J10" s="171" t="n">
        <f aca="false">IFERROR(ROUND((ReportDate-H10)/365.25,2),"")</f>
        <v>6.68</v>
      </c>
      <c r="K10" s="168"/>
      <c r="L10" s="168"/>
    </row>
    <row r="11" customFormat="false" ht="15" hidden="false" customHeight="false" outlineLevel="0" collapsed="false">
      <c r="A11" s="164" t="s">
        <v>492</v>
      </c>
      <c r="B11" s="165" t="s">
        <v>493</v>
      </c>
      <c r="C11" s="165" t="s">
        <v>15</v>
      </c>
      <c r="D11" s="165" t="s">
        <v>325</v>
      </c>
      <c r="E11" s="165" t="s">
        <v>481</v>
      </c>
      <c r="F11" s="172" t="n">
        <v>1</v>
      </c>
      <c r="G11" s="165" t="s">
        <v>392</v>
      </c>
      <c r="H11" s="166" t="n">
        <v>43826</v>
      </c>
      <c r="I11" s="164" t="s">
        <v>17</v>
      </c>
      <c r="J11" s="167" t="n">
        <f aca="false">IFERROR(ROUND((ReportDate-H11)/365.25,2),"")</f>
        <v>6.37</v>
      </c>
      <c r="K11" s="164"/>
      <c r="L11" s="164"/>
    </row>
    <row r="12" customFormat="false" ht="15" hidden="false" customHeight="false" outlineLevel="0" collapsed="false">
      <c r="A12" s="168" t="s">
        <v>494</v>
      </c>
      <c r="B12" s="169" t="s">
        <v>495</v>
      </c>
      <c r="C12" s="169" t="s">
        <v>16</v>
      </c>
      <c r="D12" s="169" t="s">
        <v>334</v>
      </c>
      <c r="E12" s="169" t="s">
        <v>122</v>
      </c>
      <c r="F12" s="173" t="n">
        <v>1</v>
      </c>
      <c r="G12" s="169" t="s">
        <v>401</v>
      </c>
      <c r="H12" s="170" t="n">
        <v>45203</v>
      </c>
      <c r="I12" s="168" t="s">
        <v>17</v>
      </c>
      <c r="J12" s="171" t="n">
        <f aca="false">IFERROR(ROUND((ReportDate-H12)/365.25,2),"")</f>
        <v>2.6</v>
      </c>
      <c r="K12" s="168"/>
      <c r="L12" s="168"/>
    </row>
    <row r="13" customFormat="false" ht="15" hidden="false" customHeight="false" outlineLevel="0" collapsed="false">
      <c r="A13" s="164" t="s">
        <v>496</v>
      </c>
      <c r="B13" s="165" t="s">
        <v>114</v>
      </c>
      <c r="C13" s="165" t="s">
        <v>16</v>
      </c>
      <c r="D13" s="165" t="s">
        <v>334</v>
      </c>
      <c r="E13" s="165" t="s">
        <v>122</v>
      </c>
      <c r="F13" s="172" t="n">
        <v>1</v>
      </c>
      <c r="G13" s="165" t="s">
        <v>401</v>
      </c>
      <c r="H13" s="166" t="n">
        <v>45107</v>
      </c>
      <c r="I13" s="164" t="s">
        <v>17</v>
      </c>
      <c r="J13" s="167" t="n">
        <f aca="false">IFERROR(ROUND((ReportDate-H13)/365.25,2),"")</f>
        <v>2.86</v>
      </c>
      <c r="K13" s="164"/>
      <c r="L13" s="164"/>
    </row>
    <row r="14" customFormat="false" ht="15" hidden="false" customHeight="false" outlineLevel="0" collapsed="false">
      <c r="A14" s="168" t="s">
        <v>497</v>
      </c>
      <c r="B14" s="169" t="s">
        <v>498</v>
      </c>
      <c r="C14" s="169" t="s">
        <v>20</v>
      </c>
      <c r="D14" s="169" t="s">
        <v>340</v>
      </c>
      <c r="E14" s="169" t="s">
        <v>484</v>
      </c>
      <c r="F14" s="173" t="n">
        <v>1</v>
      </c>
      <c r="G14" s="169" t="s">
        <v>302</v>
      </c>
      <c r="H14" s="170" t="n">
        <v>44115</v>
      </c>
      <c r="I14" s="168" t="s">
        <v>17</v>
      </c>
      <c r="J14" s="171" t="n">
        <f aca="false">IFERROR(ROUND((ReportDate-H14)/365.25,2),"")</f>
        <v>5.58</v>
      </c>
      <c r="K14" s="168"/>
      <c r="L14" s="168"/>
    </row>
    <row r="15" customFormat="false" ht="15" hidden="false" customHeight="false" outlineLevel="0" collapsed="false">
      <c r="A15" s="164" t="s">
        <v>499</v>
      </c>
      <c r="B15" s="165" t="s">
        <v>500</v>
      </c>
      <c r="C15" s="165" t="s">
        <v>20</v>
      </c>
      <c r="D15" s="165" t="s">
        <v>340</v>
      </c>
      <c r="E15" s="165" t="s">
        <v>484</v>
      </c>
      <c r="F15" s="172" t="n">
        <v>1</v>
      </c>
      <c r="G15" s="165" t="s">
        <v>302</v>
      </c>
      <c r="H15" s="166" t="n">
        <v>44339</v>
      </c>
      <c r="I15" s="164" t="s">
        <v>17</v>
      </c>
      <c r="J15" s="167" t="n">
        <f aca="false">IFERROR(ROUND((ReportDate-H15)/365.25,2),"")</f>
        <v>4.97</v>
      </c>
      <c r="K15" s="164"/>
      <c r="L15" s="164"/>
    </row>
    <row r="16" customFormat="false" ht="15" hidden="false" customHeight="false" outlineLevel="0" collapsed="false">
      <c r="A16" s="168" t="s">
        <v>501</v>
      </c>
      <c r="B16" s="169" t="s">
        <v>502</v>
      </c>
      <c r="C16" s="169" t="s">
        <v>21</v>
      </c>
      <c r="D16" s="169" t="s">
        <v>349</v>
      </c>
      <c r="E16" s="169" t="s">
        <v>486</v>
      </c>
      <c r="F16" s="173" t="n">
        <v>1</v>
      </c>
      <c r="G16" s="169" t="s">
        <v>487</v>
      </c>
      <c r="H16" s="170" t="n">
        <v>43996</v>
      </c>
      <c r="I16" s="168" t="s">
        <v>17</v>
      </c>
      <c r="J16" s="171" t="n">
        <f aca="false">IFERROR(ROUND((ReportDate-H16)/365.25,2),"")</f>
        <v>5.91</v>
      </c>
      <c r="K16" s="168"/>
      <c r="L16" s="168"/>
    </row>
    <row r="17" customFormat="false" ht="15" hidden="false" customHeight="false" outlineLevel="0" collapsed="false">
      <c r="A17" s="164" t="s">
        <v>503</v>
      </c>
      <c r="B17" s="165" t="s">
        <v>504</v>
      </c>
      <c r="C17" s="165" t="s">
        <v>21</v>
      </c>
      <c r="D17" s="165" t="s">
        <v>349</v>
      </c>
      <c r="E17" s="165" t="s">
        <v>486</v>
      </c>
      <c r="F17" s="172" t="n">
        <v>1</v>
      </c>
      <c r="G17" s="165" t="s">
        <v>420</v>
      </c>
      <c r="H17" s="166" t="n">
        <v>44458</v>
      </c>
      <c r="I17" s="164" t="s">
        <v>17</v>
      </c>
      <c r="J17" s="167" t="n">
        <f aca="false">IFERROR(ROUND((ReportDate-H17)/365.25,2),"")</f>
        <v>4.64</v>
      </c>
      <c r="K17" s="164"/>
      <c r="L17" s="164"/>
    </row>
    <row r="18" customFormat="false" ht="15" hidden="false" customHeight="false" outlineLevel="0" collapsed="false">
      <c r="A18" s="168" t="s">
        <v>505</v>
      </c>
      <c r="B18" s="169" t="s">
        <v>126</v>
      </c>
      <c r="C18" s="169" t="s">
        <v>22</v>
      </c>
      <c r="D18" s="169" t="s">
        <v>357</v>
      </c>
      <c r="E18" s="169" t="s">
        <v>489</v>
      </c>
      <c r="F18" s="173" t="n">
        <v>1</v>
      </c>
      <c r="G18" s="169" t="s">
        <v>434</v>
      </c>
      <c r="H18" s="170" t="n">
        <v>44927</v>
      </c>
      <c r="I18" s="168" t="s">
        <v>17</v>
      </c>
      <c r="J18" s="171" t="n">
        <f aca="false">IFERROR(ROUND((ReportDate-H18)/365.25,2),"")</f>
        <v>3.36</v>
      </c>
      <c r="K18" s="168"/>
      <c r="L18" s="168"/>
    </row>
    <row r="19" customFormat="false" ht="15" hidden="false" customHeight="false" outlineLevel="0" collapsed="false">
      <c r="A19" s="164" t="s">
        <v>506</v>
      </c>
      <c r="B19" s="165" t="s">
        <v>504</v>
      </c>
      <c r="C19" s="165" t="s">
        <v>23</v>
      </c>
      <c r="D19" s="165" t="s">
        <v>365</v>
      </c>
      <c r="E19" s="165" t="s">
        <v>491</v>
      </c>
      <c r="F19" s="172" t="n">
        <v>1</v>
      </c>
      <c r="G19" s="165" t="s">
        <v>366</v>
      </c>
      <c r="H19" s="166" t="n">
        <v>44120</v>
      </c>
      <c r="I19" s="164" t="s">
        <v>17</v>
      </c>
      <c r="J19" s="167" t="n">
        <f aca="false">IFERROR(ROUND((ReportDate-H19)/365.25,2),"")</f>
        <v>5.57</v>
      </c>
      <c r="K19" s="164"/>
      <c r="L19" s="164"/>
    </row>
    <row r="20" customFormat="false" ht="15" hidden="false" customHeight="false" outlineLevel="0" collapsed="false">
      <c r="A20" s="168" t="s">
        <v>507</v>
      </c>
      <c r="B20" s="169" t="s">
        <v>508</v>
      </c>
      <c r="C20" s="169" t="s">
        <v>23</v>
      </c>
      <c r="D20" s="169" t="s">
        <v>365</v>
      </c>
      <c r="E20" s="169" t="s">
        <v>491</v>
      </c>
      <c r="F20" s="173" t="n">
        <v>1</v>
      </c>
      <c r="G20" s="169" t="s">
        <v>442</v>
      </c>
      <c r="H20" s="170" t="n">
        <v>43774</v>
      </c>
      <c r="I20" s="168" t="s">
        <v>17</v>
      </c>
      <c r="J20" s="171" t="n">
        <f aca="false">IFERROR(ROUND((ReportDate-H20)/365.25,2),"")</f>
        <v>6.51</v>
      </c>
      <c r="K20" s="168"/>
      <c r="L20" s="168"/>
    </row>
    <row r="21" customFormat="false" ht="15" hidden="false" customHeight="false" outlineLevel="0" collapsed="false">
      <c r="A21" s="164" t="s">
        <v>86</v>
      </c>
      <c r="B21" s="165" t="s">
        <v>87</v>
      </c>
      <c r="C21" s="165" t="s">
        <v>15</v>
      </c>
      <c r="D21" s="165" t="s">
        <v>387</v>
      </c>
      <c r="E21" s="165" t="s">
        <v>493</v>
      </c>
      <c r="F21" s="172" t="n">
        <v>0.5</v>
      </c>
      <c r="G21" s="165" t="s">
        <v>509</v>
      </c>
      <c r="H21" s="166" t="n">
        <v>45992</v>
      </c>
      <c r="I21" s="164" t="s">
        <v>386</v>
      </c>
      <c r="J21" s="167" t="n">
        <f aca="false">IFERROR(ROUND((ReportDate-H21)/365.25,2),"")</f>
        <v>0.44</v>
      </c>
      <c r="K21" s="164"/>
      <c r="L21" s="164"/>
    </row>
    <row r="22" customFormat="false" ht="15" hidden="false" customHeight="false" outlineLevel="0" collapsed="false">
      <c r="A22" s="168" t="s">
        <v>510</v>
      </c>
      <c r="B22" s="169" t="s">
        <v>511</v>
      </c>
      <c r="C22" s="169" t="s">
        <v>15</v>
      </c>
      <c r="D22" s="169" t="s">
        <v>387</v>
      </c>
      <c r="E22" s="169" t="s">
        <v>493</v>
      </c>
      <c r="F22" s="173" t="n">
        <v>0.5</v>
      </c>
      <c r="G22" s="169" t="s">
        <v>385</v>
      </c>
      <c r="H22" s="170" t="n">
        <v>45359</v>
      </c>
      <c r="I22" s="168" t="s">
        <v>17</v>
      </c>
      <c r="J22" s="171" t="n">
        <f aca="false">IFERROR(ROUND((ReportDate-H22)/365.25,2),"")</f>
        <v>2.17</v>
      </c>
      <c r="K22" s="168"/>
      <c r="L22" s="168"/>
    </row>
    <row r="23" customFormat="false" ht="15" hidden="false" customHeight="false" outlineLevel="0" collapsed="false">
      <c r="A23" s="164" t="s">
        <v>82</v>
      </c>
      <c r="B23" s="165" t="s">
        <v>83</v>
      </c>
      <c r="C23" s="165" t="s">
        <v>16</v>
      </c>
      <c r="D23" s="165" t="s">
        <v>398</v>
      </c>
      <c r="E23" s="165" t="s">
        <v>114</v>
      </c>
      <c r="F23" s="172" t="n">
        <v>0.75</v>
      </c>
      <c r="G23" s="165" t="s">
        <v>406</v>
      </c>
      <c r="H23" s="166" t="n">
        <v>45990</v>
      </c>
      <c r="I23" s="164" t="s">
        <v>386</v>
      </c>
      <c r="J23" s="167" t="n">
        <f aca="false">IFERROR(ROUND((ReportDate-H23)/365.25,2),"")</f>
        <v>0.45</v>
      </c>
      <c r="K23" s="164"/>
      <c r="L23" s="164"/>
    </row>
    <row r="24" customFormat="false" ht="15" hidden="false" customHeight="false" outlineLevel="0" collapsed="false">
      <c r="A24" s="168" t="s">
        <v>512</v>
      </c>
      <c r="B24" s="169" t="s">
        <v>513</v>
      </c>
      <c r="C24" s="169" t="s">
        <v>16</v>
      </c>
      <c r="D24" s="169" t="s">
        <v>398</v>
      </c>
      <c r="E24" s="169" t="s">
        <v>495</v>
      </c>
      <c r="F24" s="173" t="n">
        <v>0.75</v>
      </c>
      <c r="G24" s="169" t="s">
        <v>299</v>
      </c>
      <c r="H24" s="170" t="n">
        <v>45454</v>
      </c>
      <c r="I24" s="168" t="s">
        <v>17</v>
      </c>
      <c r="J24" s="171" t="n">
        <f aca="false">IFERROR(ROUND((ReportDate-H24)/365.25,2),"")</f>
        <v>1.91</v>
      </c>
      <c r="K24" s="168"/>
      <c r="L24" s="168"/>
    </row>
    <row r="25" customFormat="false" ht="15" hidden="false" customHeight="false" outlineLevel="0" collapsed="false">
      <c r="A25" s="164" t="s">
        <v>514</v>
      </c>
      <c r="B25" s="165" t="s">
        <v>515</v>
      </c>
      <c r="C25" s="165" t="s">
        <v>16</v>
      </c>
      <c r="D25" s="165" t="s">
        <v>398</v>
      </c>
      <c r="E25" s="165" t="s">
        <v>114</v>
      </c>
      <c r="F25" s="172" t="n">
        <v>1</v>
      </c>
      <c r="G25" s="165" t="s">
        <v>406</v>
      </c>
      <c r="H25" s="166" t="n">
        <v>45519</v>
      </c>
      <c r="I25" s="164" t="s">
        <v>17</v>
      </c>
      <c r="J25" s="167" t="n">
        <f aca="false">IFERROR(ROUND((ReportDate-H25)/365.25,2),"")</f>
        <v>1.74</v>
      </c>
      <c r="K25" s="164"/>
      <c r="L25" s="164"/>
    </row>
    <row r="26" customFormat="false" ht="15" hidden="false" customHeight="false" outlineLevel="0" collapsed="false">
      <c r="A26" s="168" t="s">
        <v>516</v>
      </c>
      <c r="B26" s="169" t="s">
        <v>517</v>
      </c>
      <c r="C26" s="169" t="s">
        <v>16</v>
      </c>
      <c r="D26" s="169" t="s">
        <v>398</v>
      </c>
      <c r="E26" s="169" t="s">
        <v>495</v>
      </c>
      <c r="F26" s="173" t="n">
        <v>1</v>
      </c>
      <c r="G26" s="169" t="s">
        <v>518</v>
      </c>
      <c r="H26" s="170" t="n">
        <v>44617</v>
      </c>
      <c r="I26" s="168" t="s">
        <v>17</v>
      </c>
      <c r="J26" s="171" t="n">
        <f aca="false">IFERROR(ROUND((ReportDate-H26)/365.25,2),"")</f>
        <v>4.21</v>
      </c>
      <c r="K26" s="168"/>
      <c r="L26" s="168"/>
    </row>
    <row r="27" customFormat="false" ht="15" hidden="false" customHeight="false" outlineLevel="0" collapsed="false">
      <c r="A27" s="164" t="s">
        <v>519</v>
      </c>
      <c r="B27" s="165" t="s">
        <v>520</v>
      </c>
      <c r="C27" s="165" t="s">
        <v>16</v>
      </c>
      <c r="D27" s="165" t="s">
        <v>407</v>
      </c>
      <c r="E27" s="165" t="s">
        <v>114</v>
      </c>
      <c r="F27" s="172" t="n">
        <v>1</v>
      </c>
      <c r="G27" s="165" t="s">
        <v>518</v>
      </c>
      <c r="H27" s="166" t="n">
        <v>45924</v>
      </c>
      <c r="I27" s="164" t="s">
        <v>19</v>
      </c>
      <c r="J27" s="167" t="n">
        <f aca="false">IFERROR(ROUND((ReportDate-H27)/365.25,2),"")</f>
        <v>0.63</v>
      </c>
      <c r="K27" s="166" t="n">
        <v>46062</v>
      </c>
      <c r="L27" s="164"/>
    </row>
    <row r="28" customFormat="false" ht="15" hidden="false" customHeight="false" outlineLevel="0" collapsed="false">
      <c r="A28" s="168" t="s">
        <v>96</v>
      </c>
      <c r="B28" s="169" t="s">
        <v>97</v>
      </c>
      <c r="C28" s="169" t="s">
        <v>20</v>
      </c>
      <c r="D28" s="169" t="s">
        <v>410</v>
      </c>
      <c r="E28" s="169" t="s">
        <v>500</v>
      </c>
      <c r="F28" s="173" t="n">
        <v>0.75</v>
      </c>
      <c r="G28" s="169" t="s">
        <v>341</v>
      </c>
      <c r="H28" s="170" t="n">
        <v>46000</v>
      </c>
      <c r="I28" s="168" t="s">
        <v>386</v>
      </c>
      <c r="J28" s="171" t="n">
        <f aca="false">IFERROR(ROUND((ReportDate-H28)/365.25,2),"")</f>
        <v>0.42</v>
      </c>
      <c r="K28" s="168"/>
      <c r="L28" s="168"/>
    </row>
    <row r="29" customFormat="false" ht="15" hidden="false" customHeight="false" outlineLevel="0" collapsed="false">
      <c r="A29" s="164" t="s">
        <v>521</v>
      </c>
      <c r="B29" s="165" t="s">
        <v>522</v>
      </c>
      <c r="C29" s="165" t="s">
        <v>20</v>
      </c>
      <c r="D29" s="165" t="s">
        <v>410</v>
      </c>
      <c r="E29" s="165" t="s">
        <v>498</v>
      </c>
      <c r="F29" s="172" t="n">
        <v>1</v>
      </c>
      <c r="G29" s="165" t="s">
        <v>416</v>
      </c>
      <c r="H29" s="166" t="n">
        <v>44644</v>
      </c>
      <c r="I29" s="164" t="s">
        <v>17</v>
      </c>
      <c r="J29" s="167" t="n">
        <f aca="false">IFERROR(ROUND((ReportDate-H29)/365.25,2),"")</f>
        <v>4.13</v>
      </c>
      <c r="K29" s="164"/>
      <c r="L29" s="164"/>
    </row>
    <row r="30" customFormat="false" ht="15" hidden="false" customHeight="false" outlineLevel="0" collapsed="false">
      <c r="A30" s="168" t="s">
        <v>523</v>
      </c>
      <c r="B30" s="169" t="s">
        <v>524</v>
      </c>
      <c r="C30" s="169" t="s">
        <v>20</v>
      </c>
      <c r="D30" s="169" t="s">
        <v>413</v>
      </c>
      <c r="E30" s="169" t="s">
        <v>498</v>
      </c>
      <c r="F30" s="173" t="n">
        <v>1</v>
      </c>
      <c r="G30" s="169" t="s">
        <v>346</v>
      </c>
      <c r="H30" s="170" t="n">
        <v>45050</v>
      </c>
      <c r="I30" s="168" t="s">
        <v>17</v>
      </c>
      <c r="J30" s="171" t="n">
        <f aca="false">IFERROR(ROUND((ReportDate-H30)/365.25,2),"")</f>
        <v>3.02</v>
      </c>
      <c r="K30" s="168"/>
      <c r="L30" s="168"/>
    </row>
    <row r="31" customFormat="false" ht="15" hidden="false" customHeight="false" outlineLevel="0" collapsed="false">
      <c r="A31" s="164" t="s">
        <v>156</v>
      </c>
      <c r="B31" s="165" t="s">
        <v>157</v>
      </c>
      <c r="C31" s="165" t="s">
        <v>20</v>
      </c>
      <c r="D31" s="165" t="s">
        <v>417</v>
      </c>
      <c r="E31" s="165" t="s">
        <v>498</v>
      </c>
      <c r="F31" s="172" t="n">
        <v>1</v>
      </c>
      <c r="G31" s="165" t="s">
        <v>341</v>
      </c>
      <c r="H31" s="166" t="n">
        <v>46035</v>
      </c>
      <c r="I31" s="164" t="s">
        <v>19</v>
      </c>
      <c r="J31" s="167" t="n">
        <f aca="false">IFERROR(ROUND((ReportDate-H31)/365.25,2),"")</f>
        <v>0.32</v>
      </c>
      <c r="K31" s="166" t="n">
        <v>46146</v>
      </c>
      <c r="L31" s="164"/>
    </row>
    <row r="32" customFormat="false" ht="15" hidden="false" customHeight="false" outlineLevel="0" collapsed="false">
      <c r="A32" s="168" t="s">
        <v>525</v>
      </c>
      <c r="B32" s="169" t="s">
        <v>526</v>
      </c>
      <c r="C32" s="169" t="s">
        <v>21</v>
      </c>
      <c r="D32" s="169" t="s">
        <v>419</v>
      </c>
      <c r="E32" s="169" t="s">
        <v>504</v>
      </c>
      <c r="F32" s="173" t="n">
        <v>0.75</v>
      </c>
      <c r="G32" s="169" t="s">
        <v>487</v>
      </c>
      <c r="H32" s="170" t="n">
        <v>46050</v>
      </c>
      <c r="I32" s="168" t="s">
        <v>386</v>
      </c>
      <c r="J32" s="171" t="n">
        <f aca="false">IFERROR(ROUND((ReportDate-H32)/365.25,2),"")</f>
        <v>0.28</v>
      </c>
      <c r="K32" s="168"/>
      <c r="L32" s="168"/>
    </row>
    <row r="33" customFormat="false" ht="15" hidden="false" customHeight="false" outlineLevel="0" collapsed="false">
      <c r="A33" s="164" t="s">
        <v>527</v>
      </c>
      <c r="B33" s="165" t="s">
        <v>528</v>
      </c>
      <c r="C33" s="165" t="s">
        <v>21</v>
      </c>
      <c r="D33" s="165" t="s">
        <v>419</v>
      </c>
      <c r="E33" s="165" t="s">
        <v>502</v>
      </c>
      <c r="F33" s="172" t="n">
        <v>1</v>
      </c>
      <c r="G33" s="165" t="s">
        <v>420</v>
      </c>
      <c r="H33" s="166" t="n">
        <v>44770</v>
      </c>
      <c r="I33" s="164" t="s">
        <v>17</v>
      </c>
      <c r="J33" s="167" t="n">
        <f aca="false">IFERROR(ROUND((ReportDate-H33)/365.25,2),"")</f>
        <v>3.79</v>
      </c>
      <c r="K33" s="164"/>
      <c r="L33" s="164"/>
    </row>
    <row r="34" customFormat="false" ht="15" hidden="false" customHeight="false" outlineLevel="0" collapsed="false">
      <c r="A34" s="168" t="s">
        <v>529</v>
      </c>
      <c r="B34" s="169" t="s">
        <v>530</v>
      </c>
      <c r="C34" s="169" t="s">
        <v>22</v>
      </c>
      <c r="D34" s="169" t="s">
        <v>430</v>
      </c>
      <c r="E34" s="169" t="s">
        <v>126</v>
      </c>
      <c r="F34" s="173" t="n">
        <v>0.5</v>
      </c>
      <c r="G34" s="169" t="s">
        <v>437</v>
      </c>
      <c r="H34" s="170" t="n">
        <v>46115</v>
      </c>
      <c r="I34" s="168" t="s">
        <v>386</v>
      </c>
      <c r="J34" s="171" t="n">
        <f aca="false">IFERROR(ROUND((ReportDate-H34)/365.25,2),"")</f>
        <v>0.1</v>
      </c>
      <c r="K34" s="168"/>
      <c r="L34" s="168"/>
    </row>
    <row r="35" customFormat="false" ht="15" hidden="false" customHeight="false" outlineLevel="0" collapsed="false">
      <c r="A35" s="164" t="s">
        <v>531</v>
      </c>
      <c r="B35" s="165" t="s">
        <v>532</v>
      </c>
      <c r="C35" s="165" t="s">
        <v>22</v>
      </c>
      <c r="D35" s="165" t="s">
        <v>430</v>
      </c>
      <c r="E35" s="165" t="s">
        <v>126</v>
      </c>
      <c r="F35" s="172" t="n">
        <v>1</v>
      </c>
      <c r="G35" s="165" t="s">
        <v>362</v>
      </c>
      <c r="H35" s="166" t="n">
        <v>45449</v>
      </c>
      <c r="I35" s="164" t="s">
        <v>17</v>
      </c>
      <c r="J35" s="167" t="n">
        <f aca="false">IFERROR(ROUND((ReportDate-H35)/365.25,2),"")</f>
        <v>1.93</v>
      </c>
      <c r="K35" s="164"/>
      <c r="L35" s="164"/>
    </row>
    <row r="36" customFormat="false" ht="15" hidden="false" customHeight="false" outlineLevel="0" collapsed="false">
      <c r="A36" s="168" t="s">
        <v>533</v>
      </c>
      <c r="B36" s="169" t="s">
        <v>534</v>
      </c>
      <c r="C36" s="169" t="s">
        <v>22</v>
      </c>
      <c r="D36" s="169" t="s">
        <v>430</v>
      </c>
      <c r="E36" s="169" t="s">
        <v>126</v>
      </c>
      <c r="F36" s="173" t="n">
        <v>0.5</v>
      </c>
      <c r="G36" s="169" t="s">
        <v>310</v>
      </c>
      <c r="H36" s="170" t="n">
        <v>45115</v>
      </c>
      <c r="I36" s="168" t="s">
        <v>17</v>
      </c>
      <c r="J36" s="171" t="n">
        <f aca="false">IFERROR(ROUND((ReportDate-H36)/365.25,2),"")</f>
        <v>2.84</v>
      </c>
      <c r="K36" s="168"/>
      <c r="L36" s="168"/>
    </row>
    <row r="37" customFormat="false" ht="15" hidden="false" customHeight="false" outlineLevel="0" collapsed="false">
      <c r="A37" s="164" t="s">
        <v>535</v>
      </c>
      <c r="B37" s="165" t="s">
        <v>536</v>
      </c>
      <c r="C37" s="165" t="s">
        <v>22</v>
      </c>
      <c r="D37" s="165" t="s">
        <v>430</v>
      </c>
      <c r="E37" s="165" t="s">
        <v>126</v>
      </c>
      <c r="F37" s="172" t="n">
        <v>1</v>
      </c>
      <c r="G37" s="165" t="s">
        <v>359</v>
      </c>
      <c r="H37" s="166" t="n">
        <v>45111</v>
      </c>
      <c r="I37" s="164" t="s">
        <v>17</v>
      </c>
      <c r="J37" s="167" t="n">
        <f aca="false">IFERROR(ROUND((ReportDate-H37)/365.25,2),"")</f>
        <v>2.85</v>
      </c>
      <c r="K37" s="164"/>
      <c r="L37" s="164"/>
    </row>
    <row r="38" customFormat="false" ht="15" hidden="false" customHeight="false" outlineLevel="0" collapsed="false">
      <c r="A38" s="168" t="s">
        <v>537</v>
      </c>
      <c r="B38" s="169" t="s">
        <v>538</v>
      </c>
      <c r="C38" s="169" t="s">
        <v>23</v>
      </c>
      <c r="D38" s="169" t="s">
        <v>441</v>
      </c>
      <c r="E38" s="169" t="s">
        <v>508</v>
      </c>
      <c r="F38" s="173" t="n">
        <v>0.75</v>
      </c>
      <c r="G38" s="169" t="s">
        <v>366</v>
      </c>
      <c r="H38" s="170" t="n">
        <v>46038</v>
      </c>
      <c r="I38" s="168" t="s">
        <v>386</v>
      </c>
      <c r="J38" s="171" t="n">
        <f aca="false">IFERROR(ROUND((ReportDate-H38)/365.25,2),"")</f>
        <v>0.31</v>
      </c>
      <c r="K38" s="168"/>
      <c r="L38" s="168"/>
    </row>
    <row r="39" customFormat="false" ht="15" hidden="false" customHeight="false" outlineLevel="0" collapsed="false">
      <c r="A39" s="164" t="s">
        <v>539</v>
      </c>
      <c r="B39" s="165" t="s">
        <v>540</v>
      </c>
      <c r="C39" s="165" t="s">
        <v>23</v>
      </c>
      <c r="D39" s="165" t="s">
        <v>441</v>
      </c>
      <c r="E39" s="165" t="s">
        <v>504</v>
      </c>
      <c r="F39" s="172" t="n">
        <v>1</v>
      </c>
      <c r="G39" s="165" t="s">
        <v>366</v>
      </c>
      <c r="H39" s="166" t="n">
        <v>45560</v>
      </c>
      <c r="I39" s="164" t="s">
        <v>17</v>
      </c>
      <c r="J39" s="167" t="n">
        <f aca="false">IFERROR(ROUND((ReportDate-H39)/365.25,2),"")</f>
        <v>1.62</v>
      </c>
      <c r="K39" s="164"/>
      <c r="L39" s="164"/>
    </row>
  </sheetData>
  <autoFilter ref="A4:L39"/>
  <mergeCells count="2">
    <mergeCell ref="A1:L1"/>
    <mergeCell ref="A2:L2"/>
  </mergeCells>
  <conditionalFormatting sqref="I5:I39">
    <cfRule type="expression" priority="2" aboveAverage="0" equalAverage="0" bottom="0" percent="0" rank="0" text="" dxfId="17">
      <formula>$I5="Confirmed"</formula>
    </cfRule>
    <cfRule type="expression" priority="3" aboveAverage="0" equalAverage="0" bottom="0" percent="0" rank="0" text="" dxfId="18">
      <formula>$I5="Under Probation"</formula>
    </cfRule>
    <cfRule type="expression" priority="4" aboveAverage="0" equalAverage="0" bottom="0" percent="0" rank="0" text="" dxfId="19">
      <formula>$I5="Intern"</formula>
    </cfRule>
    <cfRule type="expression" priority="5" aboveAverage="0" equalAverage="0" bottom="0" percent="0" rank="0" text="" dxfId="20">
      <formula>$I5="Offboarded"</formula>
    </cfRule>
  </conditionalFormatting>
  <conditionalFormatting sqref="F5:F39">
    <cfRule type="dataBar" priority="6">
      <dataBar showValue="1" minLength="10" maxLength="90">
        <cfvo type="num" val="0"/>
        <cfvo type="num" val="1"/>
        <color rgb="FF2EBFA5"/>
      </dataBar>
      <extLst>
        <ext xmlns:x14="http://schemas.microsoft.com/office/spreadsheetml/2009/9/main" uri="{B025F937-C7B1-47D3-B67F-A62EFF666E3E}">
          <x14:id>{A0DDEF67-286B-4BCA-A779-8812DFAE7ABF}</x14:id>
        </ext>
      </extLst>
    </cfRule>
  </conditionalFormatting>
  <conditionalFormatting sqref="K5:K39">
    <cfRule type="expression" priority="7" aboveAverage="0" equalAverage="0" bottom="0" percent="0" rank="0" text="" dxfId="21">
      <formula>AND(K5&lt;&gt;"",K5-ReportDate&gt;=0,K5-ReportDate&lt;=InternAlertDays)</formula>
    </cfRule>
  </conditionalFormatting>
  <conditionalFormatting sqref="H5:H39">
    <cfRule type="expression" priority="8" aboveAverage="0" equalAverage="0" bottom="0" percent="0" rank="0" text="" dxfId="22">
      <formula>AND($I5="Under Probation",ProbationDays-(ReportDate-$H5)&gt;=0,ProbationDays-(ReportDate-$H5)&lt;=ProbationWindow)</formula>
    </cfRule>
  </conditionalFormatting>
  <dataValidations count="1">
    <dataValidation allowBlank="false" errorStyle="stop" operator="between" showDropDown="false" showErrorMessage="false" showInputMessage="false" sqref="I5:I39" type="list">
      <formula1>"Confirmed,Under Probation,Intern,Offboarded"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DDEF67-286B-4BCA-A779-8812DFAE7AB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BFA5"/>
              <x14:axisColor rgb="FF000000"/>
            </x14:dataBar>
          </x14:cfRule>
          <xm:sqref>F5:F39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O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0"/>
  </cols>
  <sheetData>
    <row r="1" customFormat="false" ht="27.75" hidden="false" customHeight="true" outlineLevel="0" collapsed="false">
      <c r="A1" s="174" t="s">
        <v>541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</row>
    <row r="2" customFormat="false" ht="18" hidden="false" customHeight="true" outlineLevel="0" collapsed="false">
      <c r="A2" s="175" t="s">
        <v>542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</row>
    <row r="4" customFormat="false" ht="31.5" hidden="false" customHeight="true" outlineLevel="0" collapsed="false">
      <c r="A4" s="176" t="s">
        <v>50</v>
      </c>
      <c r="B4" s="176" t="s">
        <v>51</v>
      </c>
      <c r="C4" s="176" t="s">
        <v>543</v>
      </c>
      <c r="D4" s="176" t="s">
        <v>52</v>
      </c>
      <c r="E4" s="176" t="s">
        <v>544</v>
      </c>
      <c r="F4" s="176" t="s">
        <v>545</v>
      </c>
      <c r="G4" s="176" t="s">
        <v>546</v>
      </c>
      <c r="H4" s="176" t="s">
        <v>547</v>
      </c>
      <c r="I4" s="176" t="s">
        <v>548</v>
      </c>
      <c r="J4" s="176" t="s">
        <v>549</v>
      </c>
      <c r="K4" s="176" t="s">
        <v>550</v>
      </c>
      <c r="L4" s="176" t="s">
        <v>551</v>
      </c>
      <c r="M4" s="176" t="s">
        <v>552</v>
      </c>
      <c r="N4" s="176" t="s">
        <v>553</v>
      </c>
      <c r="O4" s="176" t="s">
        <v>554</v>
      </c>
    </row>
    <row r="5" customFormat="false" ht="15" hidden="false" customHeight="false" outlineLevel="0" collapsed="false">
      <c r="A5" s="102" t="s">
        <v>291</v>
      </c>
      <c r="B5" s="177" t="s">
        <v>292</v>
      </c>
      <c r="C5" s="102" t="s">
        <v>11</v>
      </c>
      <c r="D5" s="177" t="s">
        <v>15</v>
      </c>
      <c r="E5" s="178" t="n">
        <v>6181950</v>
      </c>
      <c r="F5" s="178" t="n">
        <v>206065</v>
      </c>
      <c r="G5" s="178" t="n">
        <v>103032</v>
      </c>
      <c r="H5" s="178" t="n">
        <v>206065</v>
      </c>
      <c r="I5" s="178" t="n">
        <f aca="false">F5+G5+H5</f>
        <v>515162</v>
      </c>
      <c r="J5" s="178" t="n">
        <v>24728</v>
      </c>
      <c r="K5" s="178" t="n">
        <v>0</v>
      </c>
      <c r="L5" s="178" t="n">
        <v>200</v>
      </c>
      <c r="M5" s="178" t="n">
        <v>128715</v>
      </c>
      <c r="N5" s="178" t="n">
        <f aca="false">I5-J5-K5-L5-M5</f>
        <v>361519</v>
      </c>
      <c r="O5" s="102" t="s">
        <v>555</v>
      </c>
    </row>
    <row r="6" customFormat="false" ht="15" hidden="false" customHeight="false" outlineLevel="0" collapsed="false">
      <c r="A6" s="106" t="s">
        <v>296</v>
      </c>
      <c r="B6" s="179" t="s">
        <v>297</v>
      </c>
      <c r="C6" s="106" t="s">
        <v>11</v>
      </c>
      <c r="D6" s="179" t="s">
        <v>16</v>
      </c>
      <c r="E6" s="180" t="n">
        <v>3966956</v>
      </c>
      <c r="F6" s="180" t="n">
        <v>132232</v>
      </c>
      <c r="G6" s="180" t="n">
        <v>66116</v>
      </c>
      <c r="H6" s="180" t="n">
        <v>132232</v>
      </c>
      <c r="I6" s="180" t="n">
        <f aca="false">F6+G6+H6</f>
        <v>330580</v>
      </c>
      <c r="J6" s="180" t="n">
        <v>15868</v>
      </c>
      <c r="K6" s="180" t="n">
        <v>0</v>
      </c>
      <c r="L6" s="180" t="n">
        <v>200</v>
      </c>
      <c r="M6" s="180" t="n">
        <v>73341</v>
      </c>
      <c r="N6" s="180" t="n">
        <f aca="false">I6-J6-K6-L6-M6</f>
        <v>241171</v>
      </c>
      <c r="O6" s="106" t="s">
        <v>555</v>
      </c>
    </row>
    <row r="7" customFormat="false" ht="15" hidden="false" customHeight="false" outlineLevel="0" collapsed="false">
      <c r="A7" s="102" t="s">
        <v>300</v>
      </c>
      <c r="B7" s="177" t="s">
        <v>109</v>
      </c>
      <c r="C7" s="102" t="s">
        <v>11</v>
      </c>
      <c r="D7" s="177" t="s">
        <v>20</v>
      </c>
      <c r="E7" s="178" t="n">
        <v>3604902</v>
      </c>
      <c r="F7" s="178" t="n">
        <v>120163</v>
      </c>
      <c r="G7" s="178" t="n">
        <v>60082</v>
      </c>
      <c r="H7" s="178" t="n">
        <v>120163</v>
      </c>
      <c r="I7" s="178" t="n">
        <f aca="false">F7+G7+H7</f>
        <v>300408</v>
      </c>
      <c r="J7" s="178" t="n">
        <v>14420</v>
      </c>
      <c r="K7" s="178" t="n">
        <v>0</v>
      </c>
      <c r="L7" s="178" t="n">
        <v>200</v>
      </c>
      <c r="M7" s="178" t="n">
        <v>64289</v>
      </c>
      <c r="N7" s="178" t="n">
        <f aca="false">I7-J7-K7-L7-M7</f>
        <v>221499</v>
      </c>
      <c r="O7" s="102" t="s">
        <v>555</v>
      </c>
    </row>
    <row r="8" customFormat="false" ht="15" hidden="false" customHeight="false" outlineLevel="0" collapsed="false">
      <c r="A8" s="106" t="s">
        <v>303</v>
      </c>
      <c r="B8" s="179" t="s">
        <v>304</v>
      </c>
      <c r="C8" s="106" t="s">
        <v>11</v>
      </c>
      <c r="D8" s="179" t="s">
        <v>21</v>
      </c>
      <c r="E8" s="180" t="n">
        <v>4653556</v>
      </c>
      <c r="F8" s="180" t="n">
        <v>155118</v>
      </c>
      <c r="G8" s="180" t="n">
        <v>77559</v>
      </c>
      <c r="H8" s="180" t="n">
        <v>155119</v>
      </c>
      <c r="I8" s="180" t="n">
        <f aca="false">F8+G8+H8</f>
        <v>387796</v>
      </c>
      <c r="J8" s="180" t="n">
        <v>18614</v>
      </c>
      <c r="K8" s="180" t="n">
        <v>0</v>
      </c>
      <c r="L8" s="180" t="n">
        <v>200</v>
      </c>
      <c r="M8" s="180" t="n">
        <v>90506</v>
      </c>
      <c r="N8" s="180" t="n">
        <f aca="false">I8-J8-K8-L8-M8</f>
        <v>278476</v>
      </c>
      <c r="O8" s="106" t="s">
        <v>555</v>
      </c>
    </row>
    <row r="9" customFormat="false" ht="15" hidden="false" customHeight="false" outlineLevel="0" collapsed="false">
      <c r="A9" s="102" t="s">
        <v>307</v>
      </c>
      <c r="B9" s="177" t="s">
        <v>308</v>
      </c>
      <c r="C9" s="102" t="s">
        <v>11</v>
      </c>
      <c r="D9" s="177" t="s">
        <v>22</v>
      </c>
      <c r="E9" s="178" t="n">
        <v>4527150</v>
      </c>
      <c r="F9" s="178" t="n">
        <v>150905</v>
      </c>
      <c r="G9" s="178" t="n">
        <v>75452</v>
      </c>
      <c r="H9" s="178" t="n">
        <v>150905</v>
      </c>
      <c r="I9" s="178" t="n">
        <f aca="false">F9+G9+H9</f>
        <v>377262</v>
      </c>
      <c r="J9" s="178" t="n">
        <v>18109</v>
      </c>
      <c r="K9" s="178" t="n">
        <v>0</v>
      </c>
      <c r="L9" s="178" t="n">
        <v>200</v>
      </c>
      <c r="M9" s="178" t="n">
        <v>87345</v>
      </c>
      <c r="N9" s="178" t="n">
        <f aca="false">I9-J9-K9-L9-M9</f>
        <v>271608</v>
      </c>
      <c r="O9" s="102" t="s">
        <v>555</v>
      </c>
    </row>
    <row r="10" customFormat="false" ht="15" hidden="false" customHeight="false" outlineLevel="0" collapsed="false">
      <c r="A10" s="106" t="s">
        <v>311</v>
      </c>
      <c r="B10" s="179" t="s">
        <v>312</v>
      </c>
      <c r="C10" s="106" t="s">
        <v>11</v>
      </c>
      <c r="D10" s="179" t="s">
        <v>23</v>
      </c>
      <c r="E10" s="180" t="n">
        <v>4436213</v>
      </c>
      <c r="F10" s="180" t="n">
        <v>147874</v>
      </c>
      <c r="G10" s="180" t="n">
        <v>73937</v>
      </c>
      <c r="H10" s="180" t="n">
        <v>147874</v>
      </c>
      <c r="I10" s="180" t="n">
        <f aca="false">F10+G10+H10</f>
        <v>369685</v>
      </c>
      <c r="J10" s="180" t="n">
        <v>17745</v>
      </c>
      <c r="K10" s="180" t="n">
        <v>0</v>
      </c>
      <c r="L10" s="180" t="n">
        <v>200</v>
      </c>
      <c r="M10" s="180" t="n">
        <v>85072</v>
      </c>
      <c r="N10" s="180" t="n">
        <f aca="false">I10-J10-K10-L10-M10</f>
        <v>266668</v>
      </c>
      <c r="O10" s="106" t="s">
        <v>555</v>
      </c>
    </row>
    <row r="11" customFormat="false" ht="15" hidden="false" customHeight="false" outlineLevel="0" collapsed="false">
      <c r="A11" s="102" t="s">
        <v>315</v>
      </c>
      <c r="B11" s="177" t="s">
        <v>316</v>
      </c>
      <c r="C11" s="102" t="s">
        <v>11</v>
      </c>
      <c r="D11" s="177" t="s">
        <v>24</v>
      </c>
      <c r="E11" s="178" t="n">
        <v>4085264</v>
      </c>
      <c r="F11" s="178" t="n">
        <v>136176</v>
      </c>
      <c r="G11" s="178" t="n">
        <v>68088</v>
      </c>
      <c r="H11" s="178" t="n">
        <v>136175</v>
      </c>
      <c r="I11" s="178" t="n">
        <f aca="false">F11+G11+H11</f>
        <v>340439</v>
      </c>
      <c r="J11" s="178" t="n">
        <v>16341</v>
      </c>
      <c r="K11" s="178" t="n">
        <v>0</v>
      </c>
      <c r="L11" s="178" t="n">
        <v>200</v>
      </c>
      <c r="M11" s="178" t="n">
        <v>76298</v>
      </c>
      <c r="N11" s="178" t="n">
        <f aca="false">I11-J11-K11-L11-M11</f>
        <v>247600</v>
      </c>
      <c r="O11" s="102" t="s">
        <v>555</v>
      </c>
    </row>
    <row r="12" customFormat="false" ht="15" hidden="false" customHeight="false" outlineLevel="0" collapsed="false">
      <c r="A12" s="106" t="s">
        <v>319</v>
      </c>
      <c r="B12" s="179" t="s">
        <v>320</v>
      </c>
      <c r="C12" s="106" t="s">
        <v>11</v>
      </c>
      <c r="D12" s="179" t="s">
        <v>25</v>
      </c>
      <c r="E12" s="180" t="n">
        <v>3929895</v>
      </c>
      <c r="F12" s="180" t="n">
        <v>130996</v>
      </c>
      <c r="G12" s="180" t="n">
        <v>65498</v>
      </c>
      <c r="H12" s="180" t="n">
        <v>130996</v>
      </c>
      <c r="I12" s="180" t="n">
        <f aca="false">F12+G12+H12</f>
        <v>327490</v>
      </c>
      <c r="J12" s="180" t="n">
        <v>15720</v>
      </c>
      <c r="K12" s="180" t="n">
        <v>0</v>
      </c>
      <c r="L12" s="180" t="n">
        <v>200</v>
      </c>
      <c r="M12" s="180" t="n">
        <v>72414</v>
      </c>
      <c r="N12" s="180" t="n">
        <f aca="false">I12-J12-K12-L12-M12</f>
        <v>239156</v>
      </c>
      <c r="O12" s="106" t="s">
        <v>555</v>
      </c>
    </row>
    <row r="13" customFormat="false" ht="15" hidden="false" customHeight="false" outlineLevel="0" collapsed="false">
      <c r="A13" s="102" t="s">
        <v>323</v>
      </c>
      <c r="B13" s="177" t="s">
        <v>324</v>
      </c>
      <c r="C13" s="102" t="s">
        <v>11</v>
      </c>
      <c r="D13" s="177" t="s">
        <v>15</v>
      </c>
      <c r="E13" s="178" t="n">
        <v>1509570</v>
      </c>
      <c r="F13" s="178" t="n">
        <v>50319</v>
      </c>
      <c r="G13" s="178" t="n">
        <v>25160</v>
      </c>
      <c r="H13" s="178" t="n">
        <v>50319</v>
      </c>
      <c r="I13" s="178" t="n">
        <f aca="false">F13+G13+H13</f>
        <v>125798</v>
      </c>
      <c r="J13" s="178" t="n">
        <v>6038</v>
      </c>
      <c r="K13" s="178" t="n">
        <v>0</v>
      </c>
      <c r="L13" s="178" t="n">
        <v>200</v>
      </c>
      <c r="M13" s="178" t="n">
        <v>11906</v>
      </c>
      <c r="N13" s="178" t="n">
        <f aca="false">I13-J13-K13-L13-M13</f>
        <v>107654</v>
      </c>
      <c r="O13" s="102" t="s">
        <v>555</v>
      </c>
    </row>
    <row r="14" customFormat="false" ht="15" hidden="false" customHeight="false" outlineLevel="0" collapsed="false">
      <c r="A14" s="106" t="s">
        <v>327</v>
      </c>
      <c r="B14" s="179" t="s">
        <v>328</v>
      </c>
      <c r="C14" s="106" t="s">
        <v>11</v>
      </c>
      <c r="D14" s="179" t="s">
        <v>15</v>
      </c>
      <c r="E14" s="180" t="n">
        <v>1576646</v>
      </c>
      <c r="F14" s="180" t="n">
        <v>52555</v>
      </c>
      <c r="G14" s="180" t="n">
        <v>26277</v>
      </c>
      <c r="H14" s="180" t="n">
        <v>52555</v>
      </c>
      <c r="I14" s="180" t="n">
        <f aca="false">F14+G14+H14</f>
        <v>131387</v>
      </c>
      <c r="J14" s="180" t="n">
        <v>6307</v>
      </c>
      <c r="K14" s="180" t="n">
        <v>0</v>
      </c>
      <c r="L14" s="180" t="n">
        <v>200</v>
      </c>
      <c r="M14" s="180" t="n">
        <v>13583</v>
      </c>
      <c r="N14" s="180" t="n">
        <f aca="false">I14-J14-K14-L14-M14</f>
        <v>111297</v>
      </c>
      <c r="O14" s="106" t="s">
        <v>555</v>
      </c>
    </row>
    <row r="15" customFormat="false" ht="15" hidden="false" customHeight="false" outlineLevel="0" collapsed="false">
      <c r="A15" s="102" t="s">
        <v>330</v>
      </c>
      <c r="B15" s="177" t="s">
        <v>331</v>
      </c>
      <c r="C15" s="102" t="s">
        <v>11</v>
      </c>
      <c r="D15" s="177" t="s">
        <v>15</v>
      </c>
      <c r="E15" s="178" t="n">
        <v>1371858</v>
      </c>
      <c r="F15" s="178" t="n">
        <v>45729</v>
      </c>
      <c r="G15" s="178" t="n">
        <v>22864</v>
      </c>
      <c r="H15" s="178" t="n">
        <v>45729</v>
      </c>
      <c r="I15" s="178" t="n">
        <f aca="false">F15+G15+H15</f>
        <v>114322</v>
      </c>
      <c r="J15" s="178" t="n">
        <v>5487</v>
      </c>
      <c r="K15" s="178" t="n">
        <v>0</v>
      </c>
      <c r="L15" s="178" t="n">
        <v>200</v>
      </c>
      <c r="M15" s="178" t="n">
        <v>9531</v>
      </c>
      <c r="N15" s="178" t="n">
        <f aca="false">I15-J15-K15-L15-M15</f>
        <v>99104</v>
      </c>
      <c r="O15" s="102" t="s">
        <v>555</v>
      </c>
    </row>
    <row r="16" customFormat="false" ht="15" hidden="false" customHeight="false" outlineLevel="0" collapsed="false">
      <c r="A16" s="106" t="s">
        <v>332</v>
      </c>
      <c r="B16" s="179" t="s">
        <v>333</v>
      </c>
      <c r="C16" s="106" t="s">
        <v>11</v>
      </c>
      <c r="D16" s="179" t="s">
        <v>16</v>
      </c>
      <c r="E16" s="180" t="n">
        <v>1982323</v>
      </c>
      <c r="F16" s="180" t="n">
        <v>66077</v>
      </c>
      <c r="G16" s="180" t="n">
        <v>33039</v>
      </c>
      <c r="H16" s="180" t="n">
        <v>66077</v>
      </c>
      <c r="I16" s="180" t="n">
        <f aca="false">F16+G16+H16</f>
        <v>165193</v>
      </c>
      <c r="J16" s="180" t="n">
        <v>7929</v>
      </c>
      <c r="K16" s="180" t="n">
        <v>0</v>
      </c>
      <c r="L16" s="180" t="n">
        <v>200</v>
      </c>
      <c r="M16" s="180" t="n">
        <v>23725</v>
      </c>
      <c r="N16" s="180" t="n">
        <f aca="false">I16-J16-K16-L16-M16</f>
        <v>133339</v>
      </c>
      <c r="O16" s="106" t="s">
        <v>555</v>
      </c>
    </row>
    <row r="17" customFormat="false" ht="15" hidden="false" customHeight="false" outlineLevel="0" collapsed="false">
      <c r="A17" s="102" t="s">
        <v>335</v>
      </c>
      <c r="B17" s="177" t="s">
        <v>336</v>
      </c>
      <c r="C17" s="102" t="s">
        <v>11</v>
      </c>
      <c r="D17" s="177" t="s">
        <v>16</v>
      </c>
      <c r="E17" s="178" t="n">
        <v>3038352</v>
      </c>
      <c r="F17" s="178" t="n">
        <v>101278</v>
      </c>
      <c r="G17" s="178" t="n">
        <v>50639</v>
      </c>
      <c r="H17" s="178" t="n">
        <v>101278</v>
      </c>
      <c r="I17" s="178" t="n">
        <f aca="false">F17+G17+H17</f>
        <v>253195</v>
      </c>
      <c r="J17" s="178" t="n">
        <v>12153</v>
      </c>
      <c r="K17" s="178" t="n">
        <v>0</v>
      </c>
      <c r="L17" s="178" t="n">
        <v>200</v>
      </c>
      <c r="M17" s="178" t="n">
        <v>50125</v>
      </c>
      <c r="N17" s="178" t="n">
        <f aca="false">I17-J17-K17-L17-M17</f>
        <v>190717</v>
      </c>
      <c r="O17" s="102" t="s">
        <v>555</v>
      </c>
    </row>
    <row r="18" customFormat="false" ht="15" hidden="false" customHeight="false" outlineLevel="0" collapsed="false">
      <c r="A18" s="106" t="s">
        <v>338</v>
      </c>
      <c r="B18" s="179" t="s">
        <v>339</v>
      </c>
      <c r="C18" s="106" t="s">
        <v>11</v>
      </c>
      <c r="D18" s="179" t="s">
        <v>20</v>
      </c>
      <c r="E18" s="180" t="n">
        <v>2684834</v>
      </c>
      <c r="F18" s="180" t="n">
        <v>89494</v>
      </c>
      <c r="G18" s="180" t="n">
        <v>44747</v>
      </c>
      <c r="H18" s="180" t="n">
        <v>89494</v>
      </c>
      <c r="I18" s="180" t="n">
        <f aca="false">F18+G18+H18</f>
        <v>223735</v>
      </c>
      <c r="J18" s="180" t="n">
        <v>10739</v>
      </c>
      <c r="K18" s="180" t="n">
        <v>0</v>
      </c>
      <c r="L18" s="180" t="n">
        <v>200</v>
      </c>
      <c r="M18" s="180" t="n">
        <v>41288</v>
      </c>
      <c r="N18" s="180" t="n">
        <f aca="false">I18-J18-K18-L18-M18</f>
        <v>171508</v>
      </c>
      <c r="O18" s="106" t="s">
        <v>555</v>
      </c>
    </row>
    <row r="19" customFormat="false" ht="15" hidden="false" customHeight="false" outlineLevel="0" collapsed="false">
      <c r="A19" s="102" t="s">
        <v>342</v>
      </c>
      <c r="B19" s="177" t="s">
        <v>343</v>
      </c>
      <c r="C19" s="102" t="s">
        <v>11</v>
      </c>
      <c r="D19" s="177" t="s">
        <v>20</v>
      </c>
      <c r="E19" s="178" t="n">
        <v>1866653</v>
      </c>
      <c r="F19" s="178" t="n">
        <v>62222</v>
      </c>
      <c r="G19" s="178" t="n">
        <v>31111</v>
      </c>
      <c r="H19" s="178" t="n">
        <v>62222</v>
      </c>
      <c r="I19" s="178" t="n">
        <f aca="false">F19+G19+H19</f>
        <v>155555</v>
      </c>
      <c r="J19" s="178" t="n">
        <v>7467</v>
      </c>
      <c r="K19" s="178" t="n">
        <v>0</v>
      </c>
      <c r="L19" s="178" t="n">
        <v>200</v>
      </c>
      <c r="M19" s="178" t="n">
        <v>20833</v>
      </c>
      <c r="N19" s="178" t="n">
        <f aca="false">I19-J19-K19-L19-M19</f>
        <v>127055</v>
      </c>
      <c r="O19" s="102" t="s">
        <v>555</v>
      </c>
    </row>
    <row r="20" customFormat="false" ht="15" hidden="false" customHeight="false" outlineLevel="0" collapsed="false">
      <c r="A20" s="106" t="s">
        <v>344</v>
      </c>
      <c r="B20" s="179" t="s">
        <v>345</v>
      </c>
      <c r="C20" s="106" t="s">
        <v>11</v>
      </c>
      <c r="D20" s="179" t="s">
        <v>20</v>
      </c>
      <c r="E20" s="180" t="n">
        <v>1862489</v>
      </c>
      <c r="F20" s="180" t="n">
        <v>62083</v>
      </c>
      <c r="G20" s="180" t="n">
        <v>31042</v>
      </c>
      <c r="H20" s="180" t="n">
        <v>62083</v>
      </c>
      <c r="I20" s="180" t="n">
        <f aca="false">F20+G20+H20</f>
        <v>155208</v>
      </c>
      <c r="J20" s="180" t="n">
        <v>7450</v>
      </c>
      <c r="K20" s="180" t="n">
        <v>0</v>
      </c>
      <c r="L20" s="180" t="n">
        <v>200</v>
      </c>
      <c r="M20" s="180" t="n">
        <v>20729</v>
      </c>
      <c r="N20" s="180" t="n">
        <f aca="false">I20-J20-K20-L20-M20</f>
        <v>126829</v>
      </c>
      <c r="O20" s="106" t="s">
        <v>555</v>
      </c>
    </row>
    <row r="21" customFormat="false" ht="15" hidden="false" customHeight="false" outlineLevel="0" collapsed="false">
      <c r="A21" s="102" t="s">
        <v>347</v>
      </c>
      <c r="B21" s="177" t="s">
        <v>348</v>
      </c>
      <c r="C21" s="102" t="s">
        <v>11</v>
      </c>
      <c r="D21" s="177" t="s">
        <v>21</v>
      </c>
      <c r="E21" s="178" t="n">
        <v>1996493</v>
      </c>
      <c r="F21" s="178" t="n">
        <v>66550</v>
      </c>
      <c r="G21" s="178" t="n">
        <v>33275</v>
      </c>
      <c r="H21" s="178" t="n">
        <v>66550</v>
      </c>
      <c r="I21" s="178" t="n">
        <f aca="false">F21+G21+H21</f>
        <v>166375</v>
      </c>
      <c r="J21" s="178" t="n">
        <v>7986</v>
      </c>
      <c r="K21" s="178" t="n">
        <v>0</v>
      </c>
      <c r="L21" s="178" t="n">
        <v>200</v>
      </c>
      <c r="M21" s="178" t="n">
        <v>24079</v>
      </c>
      <c r="N21" s="178" t="n">
        <f aca="false">I21-J21-K21-L21-M21</f>
        <v>134110</v>
      </c>
      <c r="O21" s="102" t="s">
        <v>555</v>
      </c>
    </row>
    <row r="22" customFormat="false" ht="15" hidden="false" customHeight="false" outlineLevel="0" collapsed="false">
      <c r="A22" s="106" t="s">
        <v>351</v>
      </c>
      <c r="B22" s="179" t="s">
        <v>352</v>
      </c>
      <c r="C22" s="106" t="s">
        <v>11</v>
      </c>
      <c r="D22" s="179" t="s">
        <v>21</v>
      </c>
      <c r="E22" s="180" t="n">
        <v>2258517</v>
      </c>
      <c r="F22" s="180" t="n">
        <v>75284</v>
      </c>
      <c r="G22" s="180" t="n">
        <v>37642</v>
      </c>
      <c r="H22" s="180" t="n">
        <v>75284</v>
      </c>
      <c r="I22" s="180" t="n">
        <f aca="false">F22+G22+H22</f>
        <v>188210</v>
      </c>
      <c r="J22" s="180" t="n">
        <v>9034</v>
      </c>
      <c r="K22" s="180" t="n">
        <v>0</v>
      </c>
      <c r="L22" s="180" t="n">
        <v>200</v>
      </c>
      <c r="M22" s="180" t="n">
        <v>30630</v>
      </c>
      <c r="N22" s="180" t="n">
        <f aca="false">I22-J22-K22-L22-M22</f>
        <v>148346</v>
      </c>
      <c r="O22" s="106" t="s">
        <v>555</v>
      </c>
    </row>
    <row r="23" customFormat="false" ht="15" hidden="false" customHeight="false" outlineLevel="0" collapsed="false">
      <c r="A23" s="102" t="s">
        <v>353</v>
      </c>
      <c r="B23" s="177" t="s">
        <v>164</v>
      </c>
      <c r="C23" s="102" t="s">
        <v>11</v>
      </c>
      <c r="D23" s="177" t="s">
        <v>21</v>
      </c>
      <c r="E23" s="178" t="n">
        <v>2287925</v>
      </c>
      <c r="F23" s="178" t="n">
        <v>76264</v>
      </c>
      <c r="G23" s="178" t="n">
        <v>38132</v>
      </c>
      <c r="H23" s="178" t="n">
        <v>76264</v>
      </c>
      <c r="I23" s="178" t="n">
        <f aca="false">F23+G23+H23</f>
        <v>190660</v>
      </c>
      <c r="J23" s="178" t="n">
        <v>9152</v>
      </c>
      <c r="K23" s="178" t="n">
        <v>0</v>
      </c>
      <c r="L23" s="178" t="n">
        <v>200</v>
      </c>
      <c r="M23" s="178" t="n">
        <v>31365</v>
      </c>
      <c r="N23" s="178" t="n">
        <f aca="false">I23-J23-K23-L23-M23</f>
        <v>149943</v>
      </c>
      <c r="O23" s="102" t="s">
        <v>555</v>
      </c>
    </row>
    <row r="24" customFormat="false" ht="15" hidden="false" customHeight="false" outlineLevel="0" collapsed="false">
      <c r="A24" s="106" t="s">
        <v>355</v>
      </c>
      <c r="B24" s="179" t="s">
        <v>356</v>
      </c>
      <c r="C24" s="106" t="s">
        <v>11</v>
      </c>
      <c r="D24" s="179" t="s">
        <v>22</v>
      </c>
      <c r="E24" s="180" t="n">
        <v>1329903</v>
      </c>
      <c r="F24" s="180" t="n">
        <v>44330</v>
      </c>
      <c r="G24" s="180" t="n">
        <v>22165</v>
      </c>
      <c r="H24" s="180" t="n">
        <v>44330</v>
      </c>
      <c r="I24" s="180" t="n">
        <f aca="false">F24+G24+H24</f>
        <v>110825</v>
      </c>
      <c r="J24" s="180" t="n">
        <v>5320</v>
      </c>
      <c r="K24" s="180" t="n">
        <v>0</v>
      </c>
      <c r="L24" s="180" t="n">
        <v>200</v>
      </c>
      <c r="M24" s="180" t="n">
        <v>8832</v>
      </c>
      <c r="N24" s="180" t="n">
        <f aca="false">I24-J24-K24-L24-M24</f>
        <v>96473</v>
      </c>
      <c r="O24" s="106" t="s">
        <v>555</v>
      </c>
    </row>
    <row r="25" customFormat="false" ht="15" hidden="false" customHeight="false" outlineLevel="0" collapsed="false">
      <c r="A25" s="102" t="s">
        <v>358</v>
      </c>
      <c r="B25" s="177" t="s">
        <v>79</v>
      </c>
      <c r="C25" s="102" t="s">
        <v>11</v>
      </c>
      <c r="D25" s="177" t="s">
        <v>22</v>
      </c>
      <c r="E25" s="178" t="n">
        <v>1431262</v>
      </c>
      <c r="F25" s="178" t="n">
        <v>47709</v>
      </c>
      <c r="G25" s="178" t="n">
        <v>23854</v>
      </c>
      <c r="H25" s="178" t="n">
        <v>47709</v>
      </c>
      <c r="I25" s="178" t="n">
        <f aca="false">F25+G25+H25</f>
        <v>119272</v>
      </c>
      <c r="J25" s="178" t="n">
        <v>5725</v>
      </c>
      <c r="K25" s="178" t="n">
        <v>0</v>
      </c>
      <c r="L25" s="178" t="n">
        <v>200</v>
      </c>
      <c r="M25" s="178" t="n">
        <v>10521</v>
      </c>
      <c r="N25" s="178" t="n">
        <f aca="false">I25-J25-K25-L25-M25</f>
        <v>102826</v>
      </c>
      <c r="O25" s="102" t="s">
        <v>555</v>
      </c>
    </row>
    <row r="26" customFormat="false" ht="15" hidden="false" customHeight="false" outlineLevel="0" collapsed="false">
      <c r="A26" s="106" t="s">
        <v>360</v>
      </c>
      <c r="B26" s="179" t="s">
        <v>361</v>
      </c>
      <c r="C26" s="106" t="s">
        <v>11</v>
      </c>
      <c r="D26" s="179" t="s">
        <v>22</v>
      </c>
      <c r="E26" s="180" t="n">
        <v>827824</v>
      </c>
      <c r="F26" s="180" t="n">
        <v>27594</v>
      </c>
      <c r="G26" s="180" t="n">
        <v>13797</v>
      </c>
      <c r="H26" s="180" t="n">
        <v>27594</v>
      </c>
      <c r="I26" s="180" t="n">
        <f aca="false">F26+G26+H26</f>
        <v>68985</v>
      </c>
      <c r="J26" s="180" t="n">
        <v>3311</v>
      </c>
      <c r="K26" s="180" t="n">
        <v>0</v>
      </c>
      <c r="L26" s="180" t="n">
        <v>200</v>
      </c>
      <c r="M26" s="180" t="n">
        <v>2732</v>
      </c>
      <c r="N26" s="180" t="n">
        <f aca="false">I26-J26-K26-L26-M26</f>
        <v>62742</v>
      </c>
      <c r="O26" s="106" t="s">
        <v>555</v>
      </c>
    </row>
    <row r="27" customFormat="false" ht="15" hidden="false" customHeight="false" outlineLevel="0" collapsed="false">
      <c r="A27" s="102" t="s">
        <v>363</v>
      </c>
      <c r="B27" s="177" t="s">
        <v>364</v>
      </c>
      <c r="C27" s="102" t="s">
        <v>11</v>
      </c>
      <c r="D27" s="177" t="s">
        <v>23</v>
      </c>
      <c r="E27" s="178" t="n">
        <v>2977016</v>
      </c>
      <c r="F27" s="178" t="n">
        <v>99234</v>
      </c>
      <c r="G27" s="178" t="n">
        <v>49617</v>
      </c>
      <c r="H27" s="178" t="n">
        <v>99234</v>
      </c>
      <c r="I27" s="178" t="n">
        <f aca="false">F27+G27+H27</f>
        <v>248085</v>
      </c>
      <c r="J27" s="178" t="n">
        <v>11908</v>
      </c>
      <c r="K27" s="178" t="n">
        <v>0</v>
      </c>
      <c r="L27" s="178" t="n">
        <v>200</v>
      </c>
      <c r="M27" s="178" t="n">
        <v>48592</v>
      </c>
      <c r="N27" s="178" t="n">
        <f aca="false">I27-J27-K27-L27-M27</f>
        <v>187385</v>
      </c>
      <c r="O27" s="102" t="s">
        <v>555</v>
      </c>
    </row>
    <row r="28" customFormat="false" ht="15" hidden="false" customHeight="false" outlineLevel="0" collapsed="false">
      <c r="A28" s="106" t="s">
        <v>367</v>
      </c>
      <c r="B28" s="179" t="s">
        <v>119</v>
      </c>
      <c r="C28" s="106" t="s">
        <v>11</v>
      </c>
      <c r="D28" s="179" t="s">
        <v>23</v>
      </c>
      <c r="E28" s="180" t="n">
        <v>2216992</v>
      </c>
      <c r="F28" s="180" t="n">
        <v>73900</v>
      </c>
      <c r="G28" s="180" t="n">
        <v>36950</v>
      </c>
      <c r="H28" s="180" t="n">
        <v>73900</v>
      </c>
      <c r="I28" s="180" t="n">
        <f aca="false">F28+G28+H28</f>
        <v>184750</v>
      </c>
      <c r="J28" s="180" t="n">
        <v>8868</v>
      </c>
      <c r="K28" s="180" t="n">
        <v>0</v>
      </c>
      <c r="L28" s="180" t="n">
        <v>200</v>
      </c>
      <c r="M28" s="180" t="n">
        <v>29591</v>
      </c>
      <c r="N28" s="180" t="n">
        <f aca="false">I28-J28-K28-L28-M28</f>
        <v>146091</v>
      </c>
      <c r="O28" s="106" t="s">
        <v>555</v>
      </c>
    </row>
    <row r="29" customFormat="false" ht="15" hidden="false" customHeight="false" outlineLevel="0" collapsed="false">
      <c r="A29" s="102" t="s">
        <v>369</v>
      </c>
      <c r="B29" s="177" t="s">
        <v>370</v>
      </c>
      <c r="C29" s="102" t="s">
        <v>11</v>
      </c>
      <c r="D29" s="177" t="s">
        <v>24</v>
      </c>
      <c r="E29" s="178" t="n">
        <v>3162906</v>
      </c>
      <c r="F29" s="178" t="n">
        <v>105430</v>
      </c>
      <c r="G29" s="178" t="n">
        <v>52715</v>
      </c>
      <c r="H29" s="178" t="n">
        <v>105430</v>
      </c>
      <c r="I29" s="178" t="n">
        <f aca="false">F29+G29+H29</f>
        <v>263575</v>
      </c>
      <c r="J29" s="178" t="n">
        <v>12652</v>
      </c>
      <c r="K29" s="178" t="n">
        <v>0</v>
      </c>
      <c r="L29" s="178" t="n">
        <v>200</v>
      </c>
      <c r="M29" s="178" t="n">
        <v>53239</v>
      </c>
      <c r="N29" s="178" t="n">
        <f aca="false">I29-J29-K29-L29-M29</f>
        <v>197484</v>
      </c>
      <c r="O29" s="102" t="s">
        <v>555</v>
      </c>
    </row>
    <row r="30" customFormat="false" ht="15" hidden="false" customHeight="false" outlineLevel="0" collapsed="false">
      <c r="A30" s="106" t="s">
        <v>372</v>
      </c>
      <c r="B30" s="179" t="s">
        <v>373</v>
      </c>
      <c r="C30" s="106" t="s">
        <v>11</v>
      </c>
      <c r="D30" s="179" t="s">
        <v>24</v>
      </c>
      <c r="E30" s="180" t="n">
        <v>2942825</v>
      </c>
      <c r="F30" s="180" t="n">
        <v>98094</v>
      </c>
      <c r="G30" s="180" t="n">
        <v>49047</v>
      </c>
      <c r="H30" s="180" t="n">
        <v>98094</v>
      </c>
      <c r="I30" s="180" t="n">
        <f aca="false">F30+G30+H30</f>
        <v>245235</v>
      </c>
      <c r="J30" s="180" t="n">
        <v>11771</v>
      </c>
      <c r="K30" s="180" t="n">
        <v>0</v>
      </c>
      <c r="L30" s="180" t="n">
        <v>200</v>
      </c>
      <c r="M30" s="180" t="n">
        <v>47737</v>
      </c>
      <c r="N30" s="180" t="n">
        <f aca="false">I30-J30-K30-L30-M30</f>
        <v>185527</v>
      </c>
      <c r="O30" s="106" t="s">
        <v>555</v>
      </c>
    </row>
    <row r="31" customFormat="false" ht="15" hidden="false" customHeight="false" outlineLevel="0" collapsed="false">
      <c r="A31" s="102" t="s">
        <v>375</v>
      </c>
      <c r="B31" s="177" t="s">
        <v>297</v>
      </c>
      <c r="C31" s="102" t="s">
        <v>11</v>
      </c>
      <c r="D31" s="177" t="s">
        <v>24</v>
      </c>
      <c r="E31" s="178" t="n">
        <v>2679796</v>
      </c>
      <c r="F31" s="178" t="n">
        <v>89326</v>
      </c>
      <c r="G31" s="178" t="n">
        <v>44663</v>
      </c>
      <c r="H31" s="178" t="n">
        <v>89327</v>
      </c>
      <c r="I31" s="178" t="n">
        <f aca="false">F31+G31+H31</f>
        <v>223316</v>
      </c>
      <c r="J31" s="178" t="n">
        <v>10719</v>
      </c>
      <c r="K31" s="178" t="n">
        <v>0</v>
      </c>
      <c r="L31" s="178" t="n">
        <v>200</v>
      </c>
      <c r="M31" s="178" t="n">
        <v>41162</v>
      </c>
      <c r="N31" s="178" t="n">
        <f aca="false">I31-J31-K31-L31-M31</f>
        <v>171235</v>
      </c>
      <c r="O31" s="102" t="s">
        <v>555</v>
      </c>
    </row>
    <row r="32" customFormat="false" ht="15" hidden="false" customHeight="false" outlineLevel="0" collapsed="false">
      <c r="A32" s="106" t="s">
        <v>376</v>
      </c>
      <c r="B32" s="179" t="s">
        <v>377</v>
      </c>
      <c r="C32" s="106" t="s">
        <v>11</v>
      </c>
      <c r="D32" s="179" t="s">
        <v>25</v>
      </c>
      <c r="E32" s="180" t="n">
        <v>2262297</v>
      </c>
      <c r="F32" s="180" t="n">
        <v>75410</v>
      </c>
      <c r="G32" s="180" t="n">
        <v>37705</v>
      </c>
      <c r="H32" s="180" t="n">
        <v>75410</v>
      </c>
      <c r="I32" s="180" t="n">
        <f aca="false">F32+G32+H32</f>
        <v>188525</v>
      </c>
      <c r="J32" s="180" t="n">
        <v>9049</v>
      </c>
      <c r="K32" s="180" t="n">
        <v>0</v>
      </c>
      <c r="L32" s="180" t="n">
        <v>200</v>
      </c>
      <c r="M32" s="180" t="n">
        <v>30724</v>
      </c>
      <c r="N32" s="180" t="n">
        <f aca="false">I32-J32-K32-L32-M32</f>
        <v>148552</v>
      </c>
      <c r="O32" s="106" t="s">
        <v>555</v>
      </c>
    </row>
    <row r="33" customFormat="false" ht="15" hidden="false" customHeight="false" outlineLevel="0" collapsed="false">
      <c r="A33" s="102" t="s">
        <v>379</v>
      </c>
      <c r="B33" s="177" t="s">
        <v>380</v>
      </c>
      <c r="C33" s="102" t="s">
        <v>11</v>
      </c>
      <c r="D33" s="177" t="s">
        <v>25</v>
      </c>
      <c r="E33" s="178" t="n">
        <v>2742059</v>
      </c>
      <c r="F33" s="178" t="n">
        <v>91402</v>
      </c>
      <c r="G33" s="178" t="n">
        <v>45701</v>
      </c>
      <c r="H33" s="178" t="n">
        <v>91402</v>
      </c>
      <c r="I33" s="178" t="n">
        <f aca="false">F33+G33+H33</f>
        <v>228505</v>
      </c>
      <c r="J33" s="178" t="n">
        <v>10968</v>
      </c>
      <c r="K33" s="178" t="n">
        <v>0</v>
      </c>
      <c r="L33" s="178" t="n">
        <v>200</v>
      </c>
      <c r="M33" s="178" t="n">
        <v>42718</v>
      </c>
      <c r="N33" s="178" t="n">
        <f aca="false">I33-J33-K33-L33-M33</f>
        <v>174619</v>
      </c>
      <c r="O33" s="102" t="s">
        <v>555</v>
      </c>
    </row>
    <row r="34" customFormat="false" ht="15" hidden="false" customHeight="false" outlineLevel="0" collapsed="false">
      <c r="A34" s="106" t="s">
        <v>382</v>
      </c>
      <c r="B34" s="179" t="s">
        <v>383</v>
      </c>
      <c r="C34" s="106" t="s">
        <v>11</v>
      </c>
      <c r="D34" s="179" t="s">
        <v>15</v>
      </c>
      <c r="E34" s="180" t="n">
        <v>1417889</v>
      </c>
      <c r="F34" s="180" t="n">
        <v>47263</v>
      </c>
      <c r="G34" s="180" t="n">
        <v>23632</v>
      </c>
      <c r="H34" s="180" t="n">
        <v>47263</v>
      </c>
      <c r="I34" s="180" t="n">
        <f aca="false">F34+G34+H34</f>
        <v>118158</v>
      </c>
      <c r="J34" s="180" t="n">
        <v>5672</v>
      </c>
      <c r="K34" s="180" t="n">
        <v>0</v>
      </c>
      <c r="L34" s="180" t="n">
        <v>200</v>
      </c>
      <c r="M34" s="180" t="n">
        <v>10298</v>
      </c>
      <c r="N34" s="180" t="n">
        <f aca="false">I34-J34-K34-L34-M34</f>
        <v>101988</v>
      </c>
      <c r="O34" s="106" t="s">
        <v>555</v>
      </c>
    </row>
    <row r="35" customFormat="false" ht="15" hidden="false" customHeight="false" outlineLevel="0" collapsed="false">
      <c r="A35" s="102" t="s">
        <v>161</v>
      </c>
      <c r="B35" s="177" t="s">
        <v>162</v>
      </c>
      <c r="C35" s="102" t="s">
        <v>11</v>
      </c>
      <c r="D35" s="177" t="s">
        <v>15</v>
      </c>
      <c r="E35" s="178" t="n">
        <v>1091704</v>
      </c>
      <c r="F35" s="178" t="n">
        <v>36390</v>
      </c>
      <c r="G35" s="178" t="n">
        <v>18195</v>
      </c>
      <c r="H35" s="178" t="n">
        <v>36390</v>
      </c>
      <c r="I35" s="178" t="n">
        <f aca="false">F35+G35+H35</f>
        <v>90975</v>
      </c>
      <c r="J35" s="178" t="n">
        <v>4367</v>
      </c>
      <c r="K35" s="178" t="n">
        <v>0</v>
      </c>
      <c r="L35" s="178" t="n">
        <v>200</v>
      </c>
      <c r="M35" s="178" t="n">
        <v>5313</v>
      </c>
      <c r="N35" s="178" t="n">
        <f aca="false">I35-J35-K35-L35-M35</f>
        <v>81095</v>
      </c>
      <c r="O35" s="102" t="s">
        <v>555</v>
      </c>
    </row>
    <row r="36" customFormat="false" ht="15" hidden="false" customHeight="false" outlineLevel="0" collapsed="false">
      <c r="A36" s="106" t="s">
        <v>388</v>
      </c>
      <c r="B36" s="179" t="s">
        <v>389</v>
      </c>
      <c r="C36" s="106" t="s">
        <v>11</v>
      </c>
      <c r="D36" s="179" t="s">
        <v>15</v>
      </c>
      <c r="E36" s="180" t="n">
        <v>1648749</v>
      </c>
      <c r="F36" s="180" t="n">
        <v>54958</v>
      </c>
      <c r="G36" s="180" t="n">
        <v>27479</v>
      </c>
      <c r="H36" s="180" t="n">
        <v>54958</v>
      </c>
      <c r="I36" s="180" t="n">
        <f aca="false">F36+G36+H36</f>
        <v>137395</v>
      </c>
      <c r="J36" s="180" t="n">
        <v>6595</v>
      </c>
      <c r="K36" s="180" t="n">
        <v>0</v>
      </c>
      <c r="L36" s="180" t="n">
        <v>200</v>
      </c>
      <c r="M36" s="180" t="n">
        <v>15385</v>
      </c>
      <c r="N36" s="180" t="n">
        <f aca="false">I36-J36-K36-L36-M36</f>
        <v>115215</v>
      </c>
      <c r="O36" s="106" t="s">
        <v>555</v>
      </c>
    </row>
    <row r="37" customFormat="false" ht="15" hidden="false" customHeight="false" outlineLevel="0" collapsed="false">
      <c r="A37" s="102" t="s">
        <v>390</v>
      </c>
      <c r="B37" s="177" t="s">
        <v>391</v>
      </c>
      <c r="C37" s="102" t="s">
        <v>11</v>
      </c>
      <c r="D37" s="177" t="s">
        <v>15</v>
      </c>
      <c r="E37" s="178" t="n">
        <v>806814</v>
      </c>
      <c r="F37" s="178" t="n">
        <v>26894</v>
      </c>
      <c r="G37" s="178" t="n">
        <v>13447</v>
      </c>
      <c r="H37" s="178" t="n">
        <v>26894</v>
      </c>
      <c r="I37" s="178" t="n">
        <f aca="false">F37+G37+H37</f>
        <v>67235</v>
      </c>
      <c r="J37" s="178" t="n">
        <v>3227</v>
      </c>
      <c r="K37" s="178" t="n">
        <v>0</v>
      </c>
      <c r="L37" s="178" t="n">
        <v>200</v>
      </c>
      <c r="M37" s="178" t="n">
        <v>2557</v>
      </c>
      <c r="N37" s="178" t="n">
        <f aca="false">I37-J37-K37-L37-M37</f>
        <v>61251</v>
      </c>
      <c r="O37" s="102" t="s">
        <v>555</v>
      </c>
    </row>
    <row r="38" customFormat="false" ht="15" hidden="false" customHeight="false" outlineLevel="0" collapsed="false">
      <c r="A38" s="106" t="s">
        <v>163</v>
      </c>
      <c r="B38" s="179" t="s">
        <v>164</v>
      </c>
      <c r="C38" s="106" t="s">
        <v>11</v>
      </c>
      <c r="D38" s="179" t="s">
        <v>15</v>
      </c>
      <c r="E38" s="180" t="n">
        <v>1595667</v>
      </c>
      <c r="F38" s="180" t="n">
        <v>53189</v>
      </c>
      <c r="G38" s="180" t="n">
        <v>26594</v>
      </c>
      <c r="H38" s="180" t="n">
        <v>53189</v>
      </c>
      <c r="I38" s="180" t="n">
        <f aca="false">F38+G38+H38</f>
        <v>132972</v>
      </c>
      <c r="J38" s="180" t="n">
        <v>6383</v>
      </c>
      <c r="K38" s="180" t="n">
        <v>0</v>
      </c>
      <c r="L38" s="180" t="n">
        <v>200</v>
      </c>
      <c r="M38" s="180" t="n">
        <v>14058</v>
      </c>
      <c r="N38" s="180" t="n">
        <f aca="false">I38-J38-K38-L38-M38</f>
        <v>112331</v>
      </c>
      <c r="O38" s="106" t="s">
        <v>555</v>
      </c>
    </row>
    <row r="39" customFormat="false" ht="15" hidden="false" customHeight="false" outlineLevel="0" collapsed="false">
      <c r="A39" s="102" t="s">
        <v>68</v>
      </c>
      <c r="B39" s="177" t="s">
        <v>69</v>
      </c>
      <c r="C39" s="102" t="s">
        <v>11</v>
      </c>
      <c r="D39" s="177" t="s">
        <v>15</v>
      </c>
      <c r="E39" s="178" t="n">
        <v>401853</v>
      </c>
      <c r="F39" s="178" t="n">
        <v>13395</v>
      </c>
      <c r="G39" s="178" t="n">
        <v>6698</v>
      </c>
      <c r="H39" s="178" t="n">
        <v>13395</v>
      </c>
      <c r="I39" s="178" t="n">
        <f aca="false">F39+G39+H39</f>
        <v>33488</v>
      </c>
      <c r="J39" s="178" t="n">
        <v>1607</v>
      </c>
      <c r="K39" s="178" t="n">
        <v>0</v>
      </c>
      <c r="L39" s="178" t="n">
        <v>200</v>
      </c>
      <c r="M39" s="178" t="n">
        <v>424</v>
      </c>
      <c r="N39" s="178" t="n">
        <f aca="false">I39-J39-K39-L39-M39</f>
        <v>31257</v>
      </c>
      <c r="O39" s="102" t="s">
        <v>555</v>
      </c>
    </row>
    <row r="40" customFormat="false" ht="15" hidden="false" customHeight="false" outlineLevel="0" collapsed="false">
      <c r="A40" s="106" t="s">
        <v>80</v>
      </c>
      <c r="B40" s="179" t="s">
        <v>81</v>
      </c>
      <c r="C40" s="106" t="s">
        <v>11</v>
      </c>
      <c r="D40" s="179" t="s">
        <v>15</v>
      </c>
      <c r="E40" s="180" t="n">
        <v>470785</v>
      </c>
      <c r="F40" s="180" t="n">
        <v>15693</v>
      </c>
      <c r="G40" s="180" t="n">
        <v>7846</v>
      </c>
      <c r="H40" s="180" t="n">
        <v>15693</v>
      </c>
      <c r="I40" s="180" t="n">
        <f aca="false">F40+G40+H40</f>
        <v>39232</v>
      </c>
      <c r="J40" s="180" t="n">
        <v>1883</v>
      </c>
      <c r="K40" s="180" t="n">
        <v>0</v>
      </c>
      <c r="L40" s="180" t="n">
        <v>200</v>
      </c>
      <c r="M40" s="180" t="n">
        <v>712</v>
      </c>
      <c r="N40" s="180" t="n">
        <f aca="false">I40-J40-K40-L40-M40</f>
        <v>36437</v>
      </c>
      <c r="O40" s="106" t="s">
        <v>555</v>
      </c>
    </row>
    <row r="41" customFormat="false" ht="15" hidden="false" customHeight="false" outlineLevel="0" collapsed="false">
      <c r="A41" s="102" t="s">
        <v>395</v>
      </c>
      <c r="B41" s="177" t="s">
        <v>396</v>
      </c>
      <c r="C41" s="102" t="s">
        <v>11</v>
      </c>
      <c r="D41" s="177" t="s">
        <v>16</v>
      </c>
      <c r="E41" s="178" t="n">
        <v>1156778</v>
      </c>
      <c r="F41" s="178" t="n">
        <v>38559</v>
      </c>
      <c r="G41" s="178" t="n">
        <v>19280</v>
      </c>
      <c r="H41" s="178" t="n">
        <v>38559</v>
      </c>
      <c r="I41" s="178" t="n">
        <f aca="false">F41+G41+H41</f>
        <v>96398</v>
      </c>
      <c r="J41" s="178" t="n">
        <v>4627</v>
      </c>
      <c r="K41" s="178" t="n">
        <v>0</v>
      </c>
      <c r="L41" s="178" t="n">
        <v>200</v>
      </c>
      <c r="M41" s="178" t="n">
        <v>6126</v>
      </c>
      <c r="N41" s="178" t="n">
        <f aca="false">I41-J41-K41-L41-M41</f>
        <v>85445</v>
      </c>
      <c r="O41" s="102" t="s">
        <v>555</v>
      </c>
    </row>
    <row r="42" customFormat="false" ht="15" hidden="false" customHeight="false" outlineLevel="0" collapsed="false">
      <c r="A42" s="106" t="s">
        <v>84</v>
      </c>
      <c r="B42" s="179" t="s">
        <v>85</v>
      </c>
      <c r="C42" s="106" t="s">
        <v>11</v>
      </c>
      <c r="D42" s="179" t="s">
        <v>16</v>
      </c>
      <c r="E42" s="180" t="n">
        <v>2382738</v>
      </c>
      <c r="F42" s="180" t="n">
        <v>79425</v>
      </c>
      <c r="G42" s="180" t="n">
        <v>39712</v>
      </c>
      <c r="H42" s="180" t="n">
        <v>79425</v>
      </c>
      <c r="I42" s="180" t="n">
        <f aca="false">F42+G42+H42</f>
        <v>198562</v>
      </c>
      <c r="J42" s="180" t="n">
        <v>9531</v>
      </c>
      <c r="K42" s="180" t="n">
        <v>0</v>
      </c>
      <c r="L42" s="180" t="n">
        <v>200</v>
      </c>
      <c r="M42" s="180" t="n">
        <v>33735</v>
      </c>
      <c r="N42" s="180" t="n">
        <f aca="false">I42-J42-K42-L42-M42</f>
        <v>155096</v>
      </c>
      <c r="O42" s="106" t="s">
        <v>555</v>
      </c>
    </row>
    <row r="43" customFormat="false" ht="15" hidden="false" customHeight="false" outlineLevel="0" collapsed="false">
      <c r="A43" s="102" t="s">
        <v>399</v>
      </c>
      <c r="B43" s="177" t="s">
        <v>400</v>
      </c>
      <c r="C43" s="102" t="s">
        <v>11</v>
      </c>
      <c r="D43" s="177" t="s">
        <v>16</v>
      </c>
      <c r="E43" s="178" t="n">
        <v>963032</v>
      </c>
      <c r="F43" s="178" t="n">
        <v>32101</v>
      </c>
      <c r="G43" s="178" t="n">
        <v>16050</v>
      </c>
      <c r="H43" s="178" t="n">
        <v>32101</v>
      </c>
      <c r="I43" s="178" t="n">
        <f aca="false">F43+G43+H43</f>
        <v>80252</v>
      </c>
      <c r="J43" s="178" t="n">
        <v>3852</v>
      </c>
      <c r="K43" s="178" t="n">
        <v>0</v>
      </c>
      <c r="L43" s="178" t="n">
        <v>200</v>
      </c>
      <c r="M43" s="178" t="n">
        <v>3859</v>
      </c>
      <c r="N43" s="178" t="n">
        <f aca="false">I43-J43-K43-L43-M43</f>
        <v>72341</v>
      </c>
      <c r="O43" s="102" t="s">
        <v>555</v>
      </c>
    </row>
    <row r="44" customFormat="false" ht="15" hidden="false" customHeight="false" outlineLevel="0" collapsed="false">
      <c r="A44" s="106" t="s">
        <v>402</v>
      </c>
      <c r="B44" s="179" t="s">
        <v>403</v>
      </c>
      <c r="C44" s="106" t="s">
        <v>11</v>
      </c>
      <c r="D44" s="179" t="s">
        <v>16</v>
      </c>
      <c r="E44" s="180" t="n">
        <v>1025772</v>
      </c>
      <c r="F44" s="180" t="n">
        <v>34192</v>
      </c>
      <c r="G44" s="180" t="n">
        <v>17096</v>
      </c>
      <c r="H44" s="180" t="n">
        <v>34192</v>
      </c>
      <c r="I44" s="180" t="n">
        <f aca="false">F44+G44+H44</f>
        <v>85480</v>
      </c>
      <c r="J44" s="180" t="n">
        <v>4103</v>
      </c>
      <c r="K44" s="180" t="n">
        <v>0</v>
      </c>
      <c r="L44" s="180" t="n">
        <v>200</v>
      </c>
      <c r="M44" s="180" t="n">
        <v>4489</v>
      </c>
      <c r="N44" s="180" t="n">
        <f aca="false">I44-J44-K44-L44-M44</f>
        <v>76688</v>
      </c>
      <c r="O44" s="106" t="s">
        <v>555</v>
      </c>
    </row>
    <row r="45" customFormat="false" ht="15" hidden="false" customHeight="false" outlineLevel="0" collapsed="false">
      <c r="A45" s="102" t="s">
        <v>404</v>
      </c>
      <c r="B45" s="177" t="s">
        <v>405</v>
      </c>
      <c r="C45" s="102" t="s">
        <v>11</v>
      </c>
      <c r="D45" s="177" t="s">
        <v>16</v>
      </c>
      <c r="E45" s="178" t="n">
        <v>2505889</v>
      </c>
      <c r="F45" s="178" t="n">
        <v>83530</v>
      </c>
      <c r="G45" s="178" t="n">
        <v>41765</v>
      </c>
      <c r="H45" s="178" t="n">
        <v>83530</v>
      </c>
      <c r="I45" s="178" t="n">
        <f aca="false">F45+G45+H45</f>
        <v>208825</v>
      </c>
      <c r="J45" s="178" t="n">
        <v>10024</v>
      </c>
      <c r="K45" s="178" t="n">
        <v>0</v>
      </c>
      <c r="L45" s="178" t="n">
        <v>200</v>
      </c>
      <c r="M45" s="178" t="n">
        <v>36814</v>
      </c>
      <c r="N45" s="178" t="n">
        <f aca="false">I45-J45-K45-L45-M45</f>
        <v>161787</v>
      </c>
      <c r="O45" s="102" t="s">
        <v>555</v>
      </c>
    </row>
    <row r="46" customFormat="false" ht="15" hidden="false" customHeight="false" outlineLevel="0" collapsed="false">
      <c r="A46" s="106" t="s">
        <v>72</v>
      </c>
      <c r="B46" s="179" t="s">
        <v>73</v>
      </c>
      <c r="C46" s="106" t="s">
        <v>11</v>
      </c>
      <c r="D46" s="179" t="s">
        <v>16</v>
      </c>
      <c r="E46" s="180" t="n">
        <v>386793</v>
      </c>
      <c r="F46" s="180" t="n">
        <v>12893</v>
      </c>
      <c r="G46" s="180" t="n">
        <v>6447</v>
      </c>
      <c r="H46" s="180" t="n">
        <v>12893</v>
      </c>
      <c r="I46" s="180" t="n">
        <f aca="false">F46+G46+H46</f>
        <v>32233</v>
      </c>
      <c r="J46" s="180" t="n">
        <v>1547</v>
      </c>
      <c r="K46" s="180" t="n">
        <v>0</v>
      </c>
      <c r="L46" s="180" t="n">
        <v>200</v>
      </c>
      <c r="M46" s="180" t="n">
        <v>362</v>
      </c>
      <c r="N46" s="180" t="n">
        <f aca="false">I46-J46-K46-L46-M46</f>
        <v>30124</v>
      </c>
      <c r="O46" s="106" t="s">
        <v>555</v>
      </c>
    </row>
    <row r="47" customFormat="false" ht="15" hidden="false" customHeight="false" outlineLevel="0" collapsed="false">
      <c r="A47" s="102" t="s">
        <v>408</v>
      </c>
      <c r="B47" s="177" t="s">
        <v>409</v>
      </c>
      <c r="C47" s="102" t="s">
        <v>11</v>
      </c>
      <c r="D47" s="177" t="s">
        <v>16</v>
      </c>
      <c r="E47" s="178" t="n">
        <v>384312</v>
      </c>
      <c r="F47" s="178" t="n">
        <v>12810</v>
      </c>
      <c r="G47" s="178" t="n">
        <v>6405</v>
      </c>
      <c r="H47" s="178" t="n">
        <v>12810</v>
      </c>
      <c r="I47" s="178" t="n">
        <f aca="false">F47+G47+H47</f>
        <v>32025</v>
      </c>
      <c r="J47" s="178" t="n">
        <v>1537</v>
      </c>
      <c r="K47" s="178" t="n">
        <v>0</v>
      </c>
      <c r="L47" s="178" t="n">
        <v>200</v>
      </c>
      <c r="M47" s="178" t="n">
        <v>351</v>
      </c>
      <c r="N47" s="178" t="n">
        <f aca="false">I47-J47-K47-L47-M47</f>
        <v>29937</v>
      </c>
      <c r="O47" s="102" t="s">
        <v>555</v>
      </c>
    </row>
    <row r="48" customFormat="false" ht="15" hidden="false" customHeight="false" outlineLevel="0" collapsed="false">
      <c r="A48" s="106" t="s">
        <v>74</v>
      </c>
      <c r="B48" s="179" t="s">
        <v>75</v>
      </c>
      <c r="C48" s="106" t="s">
        <v>11</v>
      </c>
      <c r="D48" s="179" t="s">
        <v>20</v>
      </c>
      <c r="E48" s="180" t="n">
        <v>1198382</v>
      </c>
      <c r="F48" s="180" t="n">
        <v>39946</v>
      </c>
      <c r="G48" s="180" t="n">
        <v>19973</v>
      </c>
      <c r="H48" s="180" t="n">
        <v>39946</v>
      </c>
      <c r="I48" s="180" t="n">
        <f aca="false">F48+G48+H48</f>
        <v>99865</v>
      </c>
      <c r="J48" s="180" t="n">
        <v>4794</v>
      </c>
      <c r="K48" s="180" t="n">
        <v>0</v>
      </c>
      <c r="L48" s="180" t="n">
        <v>200</v>
      </c>
      <c r="M48" s="180" t="n">
        <v>6646</v>
      </c>
      <c r="N48" s="180" t="n">
        <f aca="false">I48-J48-K48-L48-M48</f>
        <v>88225</v>
      </c>
      <c r="O48" s="106" t="s">
        <v>555</v>
      </c>
    </row>
    <row r="49" customFormat="false" ht="15" hidden="false" customHeight="false" outlineLevel="0" collapsed="false">
      <c r="A49" s="102" t="s">
        <v>62</v>
      </c>
      <c r="B49" s="177" t="s">
        <v>63</v>
      </c>
      <c r="C49" s="102" t="s">
        <v>11</v>
      </c>
      <c r="D49" s="177" t="s">
        <v>20</v>
      </c>
      <c r="E49" s="178" t="n">
        <v>901414</v>
      </c>
      <c r="F49" s="178" t="n">
        <v>30047</v>
      </c>
      <c r="G49" s="178" t="n">
        <v>15024</v>
      </c>
      <c r="H49" s="178" t="n">
        <v>30047</v>
      </c>
      <c r="I49" s="178" t="n">
        <f aca="false">F49+G49+H49</f>
        <v>75118</v>
      </c>
      <c r="J49" s="178" t="n">
        <v>3606</v>
      </c>
      <c r="K49" s="178" t="n">
        <v>0</v>
      </c>
      <c r="L49" s="178" t="n">
        <v>200</v>
      </c>
      <c r="M49" s="178" t="n">
        <v>3345</v>
      </c>
      <c r="N49" s="178" t="n">
        <f aca="false">I49-J49-K49-L49-M49</f>
        <v>67967</v>
      </c>
      <c r="O49" s="102" t="s">
        <v>555</v>
      </c>
    </row>
    <row r="50" customFormat="false" ht="15" hidden="false" customHeight="false" outlineLevel="0" collapsed="false">
      <c r="A50" s="106" t="s">
        <v>411</v>
      </c>
      <c r="B50" s="179" t="s">
        <v>412</v>
      </c>
      <c r="C50" s="106" t="s">
        <v>11</v>
      </c>
      <c r="D50" s="179" t="s">
        <v>20</v>
      </c>
      <c r="E50" s="180" t="n">
        <v>1176417</v>
      </c>
      <c r="F50" s="180" t="n">
        <v>39214</v>
      </c>
      <c r="G50" s="180" t="n">
        <v>19607</v>
      </c>
      <c r="H50" s="180" t="n">
        <v>39214</v>
      </c>
      <c r="I50" s="180" t="n">
        <f aca="false">F50+G50+H50</f>
        <v>98035</v>
      </c>
      <c r="J50" s="180" t="n">
        <v>4706</v>
      </c>
      <c r="K50" s="180" t="n">
        <v>0</v>
      </c>
      <c r="L50" s="180" t="n">
        <v>200</v>
      </c>
      <c r="M50" s="180" t="n">
        <v>6372</v>
      </c>
      <c r="N50" s="180" t="n">
        <f aca="false">I50-J50-K50-L50-M50</f>
        <v>86757</v>
      </c>
      <c r="O50" s="106" t="s">
        <v>555</v>
      </c>
    </row>
    <row r="51" customFormat="false" ht="15" hidden="false" customHeight="false" outlineLevel="0" collapsed="false">
      <c r="A51" s="102" t="s">
        <v>414</v>
      </c>
      <c r="B51" s="177" t="s">
        <v>415</v>
      </c>
      <c r="C51" s="102" t="s">
        <v>11</v>
      </c>
      <c r="D51" s="177" t="s">
        <v>20</v>
      </c>
      <c r="E51" s="178" t="n">
        <v>1688662</v>
      </c>
      <c r="F51" s="178" t="n">
        <v>56289</v>
      </c>
      <c r="G51" s="178" t="n">
        <v>28144</v>
      </c>
      <c r="H51" s="178" t="n">
        <v>56289</v>
      </c>
      <c r="I51" s="178" t="n">
        <f aca="false">F51+G51+H51</f>
        <v>140722</v>
      </c>
      <c r="J51" s="178" t="n">
        <v>6755</v>
      </c>
      <c r="K51" s="178" t="n">
        <v>0</v>
      </c>
      <c r="L51" s="178" t="n">
        <v>200</v>
      </c>
      <c r="M51" s="178" t="n">
        <v>16383</v>
      </c>
      <c r="N51" s="178" t="n">
        <f aca="false">I51-J51-K51-L51-M51</f>
        <v>117384</v>
      </c>
      <c r="O51" s="102" t="s">
        <v>555</v>
      </c>
    </row>
    <row r="52" customFormat="false" ht="15" hidden="false" customHeight="false" outlineLevel="0" collapsed="false">
      <c r="A52" s="106" t="s">
        <v>76</v>
      </c>
      <c r="B52" s="179" t="s">
        <v>77</v>
      </c>
      <c r="C52" s="106" t="s">
        <v>11</v>
      </c>
      <c r="D52" s="179" t="s">
        <v>20</v>
      </c>
      <c r="E52" s="180" t="n">
        <v>450165</v>
      </c>
      <c r="F52" s="180" t="n">
        <v>15006</v>
      </c>
      <c r="G52" s="180" t="n">
        <v>7503</v>
      </c>
      <c r="H52" s="180" t="n">
        <v>15006</v>
      </c>
      <c r="I52" s="180" t="n">
        <f aca="false">F52+G52+H52</f>
        <v>37515</v>
      </c>
      <c r="J52" s="180" t="n">
        <v>1801</v>
      </c>
      <c r="K52" s="180" t="n">
        <v>0</v>
      </c>
      <c r="L52" s="180" t="n">
        <v>200</v>
      </c>
      <c r="M52" s="180" t="n">
        <v>626</v>
      </c>
      <c r="N52" s="180" t="n">
        <f aca="false">I52-J52-K52-L52-M52</f>
        <v>34888</v>
      </c>
      <c r="O52" s="106" t="s">
        <v>555</v>
      </c>
    </row>
    <row r="53" customFormat="false" ht="15" hidden="false" customHeight="false" outlineLevel="0" collapsed="false">
      <c r="A53" s="102" t="s">
        <v>56</v>
      </c>
      <c r="B53" s="177" t="s">
        <v>57</v>
      </c>
      <c r="C53" s="102" t="s">
        <v>11</v>
      </c>
      <c r="D53" s="177" t="s">
        <v>20</v>
      </c>
      <c r="E53" s="178" t="n">
        <v>518263</v>
      </c>
      <c r="F53" s="178" t="n">
        <v>17275</v>
      </c>
      <c r="G53" s="178" t="n">
        <v>8638</v>
      </c>
      <c r="H53" s="178" t="n">
        <v>17275</v>
      </c>
      <c r="I53" s="178" t="n">
        <f aca="false">F53+G53+H53</f>
        <v>43188</v>
      </c>
      <c r="J53" s="178" t="n">
        <v>2073</v>
      </c>
      <c r="K53" s="178" t="n">
        <v>0</v>
      </c>
      <c r="L53" s="178" t="n">
        <v>200</v>
      </c>
      <c r="M53" s="178" t="n">
        <v>909</v>
      </c>
      <c r="N53" s="178" t="n">
        <f aca="false">I53-J53-K53-L53-M53</f>
        <v>40006</v>
      </c>
      <c r="O53" s="102" t="s">
        <v>555</v>
      </c>
    </row>
    <row r="54" customFormat="false" ht="15" hidden="false" customHeight="false" outlineLevel="0" collapsed="false">
      <c r="A54" s="106" t="s">
        <v>78</v>
      </c>
      <c r="B54" s="179" t="s">
        <v>79</v>
      </c>
      <c r="C54" s="106" t="s">
        <v>11</v>
      </c>
      <c r="D54" s="179" t="s">
        <v>21</v>
      </c>
      <c r="E54" s="180" t="n">
        <v>1077370</v>
      </c>
      <c r="F54" s="180" t="n">
        <v>35912</v>
      </c>
      <c r="G54" s="180" t="n">
        <v>17956</v>
      </c>
      <c r="H54" s="180" t="n">
        <v>35912</v>
      </c>
      <c r="I54" s="180" t="n">
        <f aca="false">F54+G54+H54</f>
        <v>89780</v>
      </c>
      <c r="J54" s="180" t="n">
        <v>4309</v>
      </c>
      <c r="K54" s="180" t="n">
        <v>0</v>
      </c>
      <c r="L54" s="180" t="n">
        <v>200</v>
      </c>
      <c r="M54" s="180" t="n">
        <v>5134</v>
      </c>
      <c r="N54" s="180" t="n">
        <f aca="false">I54-J54-K54-L54-M54</f>
        <v>80137</v>
      </c>
      <c r="O54" s="106" t="s">
        <v>555</v>
      </c>
    </row>
    <row r="55" customFormat="false" ht="15" hidden="false" customHeight="false" outlineLevel="0" collapsed="false">
      <c r="A55" s="102" t="s">
        <v>90</v>
      </c>
      <c r="B55" s="177" t="s">
        <v>91</v>
      </c>
      <c r="C55" s="102" t="s">
        <v>11</v>
      </c>
      <c r="D55" s="177" t="s">
        <v>21</v>
      </c>
      <c r="E55" s="178" t="n">
        <v>1646335</v>
      </c>
      <c r="F55" s="178" t="n">
        <v>54878</v>
      </c>
      <c r="G55" s="178" t="n">
        <v>27439</v>
      </c>
      <c r="H55" s="178" t="n">
        <v>54878</v>
      </c>
      <c r="I55" s="178" t="n">
        <f aca="false">F55+G55+H55</f>
        <v>137195</v>
      </c>
      <c r="J55" s="178" t="n">
        <v>6585</v>
      </c>
      <c r="K55" s="178" t="n">
        <v>0</v>
      </c>
      <c r="L55" s="178" t="n">
        <v>200</v>
      </c>
      <c r="M55" s="178" t="n">
        <v>15325</v>
      </c>
      <c r="N55" s="178" t="n">
        <f aca="false">I55-J55-K55-L55-M55</f>
        <v>115085</v>
      </c>
      <c r="O55" s="102" t="s">
        <v>555</v>
      </c>
    </row>
    <row r="56" customFormat="false" ht="15" hidden="false" customHeight="false" outlineLevel="0" collapsed="false">
      <c r="A56" s="106" t="s">
        <v>421</v>
      </c>
      <c r="B56" s="179" t="s">
        <v>422</v>
      </c>
      <c r="C56" s="106" t="s">
        <v>11</v>
      </c>
      <c r="D56" s="179" t="s">
        <v>21</v>
      </c>
      <c r="E56" s="180" t="n">
        <v>845561</v>
      </c>
      <c r="F56" s="180" t="n">
        <v>28185</v>
      </c>
      <c r="G56" s="180" t="n">
        <v>14093</v>
      </c>
      <c r="H56" s="180" t="n">
        <v>28185</v>
      </c>
      <c r="I56" s="180" t="n">
        <f aca="false">F56+G56+H56</f>
        <v>70463</v>
      </c>
      <c r="J56" s="180" t="n">
        <v>3382</v>
      </c>
      <c r="K56" s="180" t="n">
        <v>0</v>
      </c>
      <c r="L56" s="180" t="n">
        <v>200</v>
      </c>
      <c r="M56" s="180" t="n">
        <v>2880</v>
      </c>
      <c r="N56" s="180" t="n">
        <f aca="false">I56-J56-K56-L56-M56</f>
        <v>64001</v>
      </c>
      <c r="O56" s="106" t="s">
        <v>555</v>
      </c>
    </row>
    <row r="57" customFormat="false" ht="15" hidden="false" customHeight="false" outlineLevel="0" collapsed="false">
      <c r="A57" s="102" t="s">
        <v>423</v>
      </c>
      <c r="B57" s="177" t="s">
        <v>424</v>
      </c>
      <c r="C57" s="102" t="s">
        <v>11</v>
      </c>
      <c r="D57" s="177" t="s">
        <v>21</v>
      </c>
      <c r="E57" s="178" t="n">
        <v>1565179</v>
      </c>
      <c r="F57" s="178" t="n">
        <v>52173</v>
      </c>
      <c r="G57" s="178" t="n">
        <v>26086</v>
      </c>
      <c r="H57" s="178" t="n">
        <v>52173</v>
      </c>
      <c r="I57" s="178" t="n">
        <f aca="false">F57+G57+H57</f>
        <v>130432</v>
      </c>
      <c r="J57" s="178" t="n">
        <v>6261</v>
      </c>
      <c r="K57" s="178" t="n">
        <v>0</v>
      </c>
      <c r="L57" s="178" t="n">
        <v>200</v>
      </c>
      <c r="M57" s="178" t="n">
        <v>13296</v>
      </c>
      <c r="N57" s="178" t="n">
        <f aca="false">I57-J57-K57-L57-M57</f>
        <v>110675</v>
      </c>
      <c r="O57" s="102" t="s">
        <v>555</v>
      </c>
    </row>
    <row r="58" customFormat="false" ht="15" hidden="false" customHeight="false" outlineLevel="0" collapsed="false">
      <c r="A58" s="106" t="s">
        <v>425</v>
      </c>
      <c r="B58" s="179" t="s">
        <v>426</v>
      </c>
      <c r="C58" s="106" t="s">
        <v>11</v>
      </c>
      <c r="D58" s="179" t="s">
        <v>21</v>
      </c>
      <c r="E58" s="180" t="n">
        <v>2763483</v>
      </c>
      <c r="F58" s="180" t="n">
        <v>92116</v>
      </c>
      <c r="G58" s="180" t="n">
        <v>46058</v>
      </c>
      <c r="H58" s="180" t="n">
        <v>92116</v>
      </c>
      <c r="I58" s="180" t="n">
        <f aca="false">F58+G58+H58</f>
        <v>230290</v>
      </c>
      <c r="J58" s="180" t="n">
        <v>11054</v>
      </c>
      <c r="K58" s="180" t="n">
        <v>0</v>
      </c>
      <c r="L58" s="180" t="n">
        <v>200</v>
      </c>
      <c r="M58" s="180" t="n">
        <v>43254</v>
      </c>
      <c r="N58" s="180" t="n">
        <f aca="false">I58-J58-K58-L58-M58</f>
        <v>175782</v>
      </c>
      <c r="O58" s="106" t="s">
        <v>555</v>
      </c>
    </row>
    <row r="59" customFormat="false" ht="15" hidden="false" customHeight="false" outlineLevel="0" collapsed="false">
      <c r="A59" s="102" t="s">
        <v>428</v>
      </c>
      <c r="B59" s="177" t="s">
        <v>132</v>
      </c>
      <c r="C59" s="102" t="s">
        <v>11</v>
      </c>
      <c r="D59" s="177" t="s">
        <v>21</v>
      </c>
      <c r="E59" s="178" t="n">
        <v>2924551</v>
      </c>
      <c r="F59" s="178" t="n">
        <v>97485</v>
      </c>
      <c r="G59" s="178" t="n">
        <v>48742</v>
      </c>
      <c r="H59" s="178" t="n">
        <v>97485</v>
      </c>
      <c r="I59" s="178" t="n">
        <f aca="false">F59+G59+H59</f>
        <v>243712</v>
      </c>
      <c r="J59" s="178" t="n">
        <v>11698</v>
      </c>
      <c r="K59" s="178" t="n">
        <v>0</v>
      </c>
      <c r="L59" s="178" t="n">
        <v>200</v>
      </c>
      <c r="M59" s="178" t="n">
        <v>47280</v>
      </c>
      <c r="N59" s="178" t="n">
        <f aca="false">I59-J59-K59-L59-M59</f>
        <v>184534</v>
      </c>
      <c r="O59" s="102" t="s">
        <v>555</v>
      </c>
    </row>
    <row r="60" customFormat="false" ht="15" hidden="false" customHeight="false" outlineLevel="0" collapsed="false">
      <c r="A60" s="106" t="s">
        <v>64</v>
      </c>
      <c r="B60" s="179" t="s">
        <v>65</v>
      </c>
      <c r="C60" s="106" t="s">
        <v>11</v>
      </c>
      <c r="D60" s="179" t="s">
        <v>21</v>
      </c>
      <c r="E60" s="180" t="n">
        <v>392722</v>
      </c>
      <c r="F60" s="180" t="n">
        <v>13091</v>
      </c>
      <c r="G60" s="180" t="n">
        <v>6545</v>
      </c>
      <c r="H60" s="180" t="n">
        <v>13091</v>
      </c>
      <c r="I60" s="180" t="n">
        <f aca="false">F60+G60+H60</f>
        <v>32727</v>
      </c>
      <c r="J60" s="180" t="n">
        <v>1571</v>
      </c>
      <c r="K60" s="180" t="n">
        <v>0</v>
      </c>
      <c r="L60" s="180" t="n">
        <v>200</v>
      </c>
      <c r="M60" s="180" t="n">
        <v>386</v>
      </c>
      <c r="N60" s="180" t="n">
        <f aca="false">I60-J60-K60-L60-M60</f>
        <v>30570</v>
      </c>
      <c r="O60" s="106" t="s">
        <v>555</v>
      </c>
    </row>
    <row r="61" customFormat="false" ht="15" hidden="false" customHeight="false" outlineLevel="0" collapsed="false">
      <c r="A61" s="102" t="s">
        <v>92</v>
      </c>
      <c r="B61" s="177" t="s">
        <v>93</v>
      </c>
      <c r="C61" s="102" t="s">
        <v>11</v>
      </c>
      <c r="D61" s="177" t="s">
        <v>22</v>
      </c>
      <c r="E61" s="178" t="n">
        <v>2593844</v>
      </c>
      <c r="F61" s="178" t="n">
        <v>86462</v>
      </c>
      <c r="G61" s="178" t="n">
        <v>43231</v>
      </c>
      <c r="H61" s="178" t="n">
        <v>86461</v>
      </c>
      <c r="I61" s="178" t="n">
        <f aca="false">F61+G61+H61</f>
        <v>216154</v>
      </c>
      <c r="J61" s="178" t="n">
        <v>10375</v>
      </c>
      <c r="K61" s="178" t="n">
        <v>0</v>
      </c>
      <c r="L61" s="178" t="n">
        <v>200</v>
      </c>
      <c r="M61" s="178" t="n">
        <v>39013</v>
      </c>
      <c r="N61" s="178" t="n">
        <f aca="false">I61-J61-K61-L61-M61</f>
        <v>166566</v>
      </c>
      <c r="O61" s="102" t="s">
        <v>555</v>
      </c>
    </row>
    <row r="62" customFormat="false" ht="15" hidden="false" customHeight="false" outlineLevel="0" collapsed="false">
      <c r="A62" s="106" t="s">
        <v>70</v>
      </c>
      <c r="B62" s="179" t="s">
        <v>71</v>
      </c>
      <c r="C62" s="106" t="s">
        <v>11</v>
      </c>
      <c r="D62" s="179" t="s">
        <v>22</v>
      </c>
      <c r="E62" s="180" t="n">
        <v>1965255</v>
      </c>
      <c r="F62" s="180" t="n">
        <v>65508</v>
      </c>
      <c r="G62" s="180" t="n">
        <v>32754</v>
      </c>
      <c r="H62" s="180" t="n">
        <v>65508</v>
      </c>
      <c r="I62" s="180" t="n">
        <f aca="false">F62+G62+H62</f>
        <v>163770</v>
      </c>
      <c r="J62" s="180" t="n">
        <v>7861</v>
      </c>
      <c r="K62" s="180" t="n">
        <v>0</v>
      </c>
      <c r="L62" s="180" t="n">
        <v>200</v>
      </c>
      <c r="M62" s="180" t="n">
        <v>23298</v>
      </c>
      <c r="N62" s="180" t="n">
        <f aca="false">I62-J62-K62-L62-M62</f>
        <v>132411</v>
      </c>
      <c r="O62" s="106" t="s">
        <v>555</v>
      </c>
    </row>
    <row r="63" customFormat="false" ht="15" hidden="false" customHeight="false" outlineLevel="0" collapsed="false">
      <c r="A63" s="102" t="s">
        <v>431</v>
      </c>
      <c r="B63" s="177" t="s">
        <v>432</v>
      </c>
      <c r="C63" s="102" t="s">
        <v>11</v>
      </c>
      <c r="D63" s="177" t="s">
        <v>22</v>
      </c>
      <c r="E63" s="178" t="n">
        <v>1378856</v>
      </c>
      <c r="F63" s="178" t="n">
        <v>45962</v>
      </c>
      <c r="G63" s="178" t="n">
        <v>22981</v>
      </c>
      <c r="H63" s="178" t="n">
        <v>45962</v>
      </c>
      <c r="I63" s="178" t="n">
        <f aca="false">F63+G63+H63</f>
        <v>114905</v>
      </c>
      <c r="J63" s="178" t="n">
        <v>5515</v>
      </c>
      <c r="K63" s="178" t="n">
        <v>0</v>
      </c>
      <c r="L63" s="178" t="n">
        <v>200</v>
      </c>
      <c r="M63" s="178" t="n">
        <v>9648</v>
      </c>
      <c r="N63" s="178" t="n">
        <f aca="false">I63-J63-K63-L63-M63</f>
        <v>99542</v>
      </c>
      <c r="O63" s="102" t="s">
        <v>555</v>
      </c>
    </row>
    <row r="64" customFormat="false" ht="15" hidden="false" customHeight="false" outlineLevel="0" collapsed="false">
      <c r="A64" s="106" t="s">
        <v>435</v>
      </c>
      <c r="B64" s="179" t="s">
        <v>436</v>
      </c>
      <c r="C64" s="106" t="s">
        <v>11</v>
      </c>
      <c r="D64" s="179" t="s">
        <v>22</v>
      </c>
      <c r="E64" s="180" t="n">
        <v>1107419</v>
      </c>
      <c r="F64" s="180" t="n">
        <v>36914</v>
      </c>
      <c r="G64" s="180" t="n">
        <v>18457</v>
      </c>
      <c r="H64" s="180" t="n">
        <v>36914</v>
      </c>
      <c r="I64" s="180" t="n">
        <f aca="false">F64+G64+H64</f>
        <v>92285</v>
      </c>
      <c r="J64" s="180" t="n">
        <v>4430</v>
      </c>
      <c r="K64" s="180" t="n">
        <v>0</v>
      </c>
      <c r="L64" s="180" t="n">
        <v>200</v>
      </c>
      <c r="M64" s="180" t="n">
        <v>5509</v>
      </c>
      <c r="N64" s="180" t="n">
        <f aca="false">I64-J64-K64-L64-M64</f>
        <v>82146</v>
      </c>
      <c r="O64" s="106" t="s">
        <v>555</v>
      </c>
    </row>
    <row r="65" customFormat="false" ht="15" hidden="false" customHeight="false" outlineLevel="0" collapsed="false">
      <c r="A65" s="102" t="s">
        <v>438</v>
      </c>
      <c r="B65" s="177" t="s">
        <v>439</v>
      </c>
      <c r="C65" s="102" t="s">
        <v>11</v>
      </c>
      <c r="D65" s="177" t="s">
        <v>22</v>
      </c>
      <c r="E65" s="178" t="n">
        <v>3118353</v>
      </c>
      <c r="F65" s="178" t="n">
        <v>103945</v>
      </c>
      <c r="G65" s="178" t="n">
        <v>51973</v>
      </c>
      <c r="H65" s="178" t="n">
        <v>103945</v>
      </c>
      <c r="I65" s="178" t="n">
        <f aca="false">F65+G65+H65</f>
        <v>259863</v>
      </c>
      <c r="J65" s="178" t="n">
        <v>12473</v>
      </c>
      <c r="K65" s="178" t="n">
        <v>0</v>
      </c>
      <c r="L65" s="178" t="n">
        <v>200</v>
      </c>
      <c r="M65" s="178" t="n">
        <v>52125</v>
      </c>
      <c r="N65" s="178" t="n">
        <f aca="false">I65-J65-K65-L65-M65</f>
        <v>195065</v>
      </c>
      <c r="O65" s="102" t="s">
        <v>555</v>
      </c>
    </row>
    <row r="66" customFormat="false" ht="15" hidden="false" customHeight="false" outlineLevel="0" collapsed="false">
      <c r="A66" s="106" t="s">
        <v>60</v>
      </c>
      <c r="B66" s="179" t="s">
        <v>61</v>
      </c>
      <c r="C66" s="106" t="s">
        <v>11</v>
      </c>
      <c r="D66" s="179" t="s">
        <v>22</v>
      </c>
      <c r="E66" s="180" t="n">
        <v>522141</v>
      </c>
      <c r="F66" s="180" t="n">
        <v>17405</v>
      </c>
      <c r="G66" s="180" t="n">
        <v>8702</v>
      </c>
      <c r="H66" s="180" t="n">
        <v>17405</v>
      </c>
      <c r="I66" s="180" t="n">
        <f aca="false">F66+G66+H66</f>
        <v>43512</v>
      </c>
      <c r="J66" s="180" t="n">
        <v>2089</v>
      </c>
      <c r="K66" s="180" t="n">
        <v>0</v>
      </c>
      <c r="L66" s="180" t="n">
        <v>200</v>
      </c>
      <c r="M66" s="180" t="n">
        <v>926</v>
      </c>
      <c r="N66" s="180" t="n">
        <f aca="false">I66-J66-K66-L66-M66</f>
        <v>40297</v>
      </c>
      <c r="O66" s="106" t="s">
        <v>555</v>
      </c>
    </row>
    <row r="67" customFormat="false" ht="15" hidden="false" customHeight="false" outlineLevel="0" collapsed="false">
      <c r="A67" s="102" t="s">
        <v>58</v>
      </c>
      <c r="B67" s="177" t="s">
        <v>59</v>
      </c>
      <c r="C67" s="102" t="s">
        <v>11</v>
      </c>
      <c r="D67" s="177" t="s">
        <v>23</v>
      </c>
      <c r="E67" s="178" t="n">
        <v>2558403</v>
      </c>
      <c r="F67" s="178" t="n">
        <v>85280</v>
      </c>
      <c r="G67" s="178" t="n">
        <v>42640</v>
      </c>
      <c r="H67" s="178" t="n">
        <v>85280</v>
      </c>
      <c r="I67" s="178" t="n">
        <f aca="false">F67+G67+H67</f>
        <v>213200</v>
      </c>
      <c r="J67" s="178" t="n">
        <v>10234</v>
      </c>
      <c r="K67" s="178" t="n">
        <v>0</v>
      </c>
      <c r="L67" s="178" t="n">
        <v>200</v>
      </c>
      <c r="M67" s="178" t="n">
        <v>38127</v>
      </c>
      <c r="N67" s="178" t="n">
        <f aca="false">I67-J67-K67-L67-M67</f>
        <v>164639</v>
      </c>
      <c r="O67" s="102" t="s">
        <v>555</v>
      </c>
    </row>
    <row r="68" customFormat="false" ht="15" hidden="false" customHeight="false" outlineLevel="0" collapsed="false">
      <c r="A68" s="106" t="s">
        <v>94</v>
      </c>
      <c r="B68" s="179" t="s">
        <v>95</v>
      </c>
      <c r="C68" s="106" t="s">
        <v>11</v>
      </c>
      <c r="D68" s="179" t="s">
        <v>23</v>
      </c>
      <c r="E68" s="180" t="n">
        <v>3010795</v>
      </c>
      <c r="F68" s="180" t="n">
        <v>100360</v>
      </c>
      <c r="G68" s="180" t="n">
        <v>50180</v>
      </c>
      <c r="H68" s="180" t="n">
        <v>100360</v>
      </c>
      <c r="I68" s="180" t="n">
        <f aca="false">F68+G68+H68</f>
        <v>250900</v>
      </c>
      <c r="J68" s="180" t="n">
        <v>12043</v>
      </c>
      <c r="K68" s="180" t="n">
        <v>0</v>
      </c>
      <c r="L68" s="180" t="n">
        <v>200</v>
      </c>
      <c r="M68" s="180" t="n">
        <v>49437</v>
      </c>
      <c r="N68" s="180" t="n">
        <f aca="false">I68-J68-K68-L68-M68</f>
        <v>189220</v>
      </c>
      <c r="O68" s="106" t="s">
        <v>555</v>
      </c>
    </row>
    <row r="69" customFormat="false" ht="15" hidden="false" customHeight="false" outlineLevel="0" collapsed="false">
      <c r="A69" s="102" t="s">
        <v>444</v>
      </c>
      <c r="B69" s="177" t="s">
        <v>445</v>
      </c>
      <c r="C69" s="102" t="s">
        <v>11</v>
      </c>
      <c r="D69" s="177" t="s">
        <v>23</v>
      </c>
      <c r="E69" s="178" t="n">
        <v>2203258</v>
      </c>
      <c r="F69" s="178" t="n">
        <v>73442</v>
      </c>
      <c r="G69" s="178" t="n">
        <v>36721</v>
      </c>
      <c r="H69" s="178" t="n">
        <v>73442</v>
      </c>
      <c r="I69" s="178" t="n">
        <f aca="false">F69+G69+H69</f>
        <v>183605</v>
      </c>
      <c r="J69" s="178" t="n">
        <v>8813</v>
      </c>
      <c r="K69" s="178" t="n">
        <v>0</v>
      </c>
      <c r="L69" s="178" t="n">
        <v>200</v>
      </c>
      <c r="M69" s="178" t="n">
        <v>29248</v>
      </c>
      <c r="N69" s="178" t="n">
        <f aca="false">I69-J69-K69-L69-M69</f>
        <v>145344</v>
      </c>
      <c r="O69" s="102" t="s">
        <v>555</v>
      </c>
    </row>
    <row r="70" customFormat="false" ht="15" hidden="false" customHeight="false" outlineLevel="0" collapsed="false">
      <c r="A70" s="106" t="s">
        <v>446</v>
      </c>
      <c r="B70" s="179" t="s">
        <v>134</v>
      </c>
      <c r="C70" s="106" t="s">
        <v>11</v>
      </c>
      <c r="D70" s="179" t="s">
        <v>23</v>
      </c>
      <c r="E70" s="180" t="n">
        <v>1945867</v>
      </c>
      <c r="F70" s="180" t="n">
        <v>64862</v>
      </c>
      <c r="G70" s="180" t="n">
        <v>32431</v>
      </c>
      <c r="H70" s="180" t="n">
        <v>64862</v>
      </c>
      <c r="I70" s="180" t="n">
        <f aca="false">F70+G70+H70</f>
        <v>162155</v>
      </c>
      <c r="J70" s="180" t="n">
        <v>7783</v>
      </c>
      <c r="K70" s="180" t="n">
        <v>0</v>
      </c>
      <c r="L70" s="180" t="n">
        <v>200</v>
      </c>
      <c r="M70" s="180" t="n">
        <v>22813</v>
      </c>
      <c r="N70" s="180" t="n">
        <f aca="false">I70-J70-K70-L70-M70</f>
        <v>131359</v>
      </c>
      <c r="O70" s="106" t="s">
        <v>555</v>
      </c>
    </row>
    <row r="71" customFormat="false" ht="15" hidden="false" customHeight="false" outlineLevel="0" collapsed="false">
      <c r="A71" s="102" t="s">
        <v>447</v>
      </c>
      <c r="B71" s="177" t="s">
        <v>448</v>
      </c>
      <c r="C71" s="102" t="s">
        <v>11</v>
      </c>
      <c r="D71" s="177" t="s">
        <v>23</v>
      </c>
      <c r="E71" s="178" t="n">
        <v>372012</v>
      </c>
      <c r="F71" s="178" t="n">
        <v>12400</v>
      </c>
      <c r="G71" s="178" t="n">
        <v>6200</v>
      </c>
      <c r="H71" s="178" t="n">
        <v>12400</v>
      </c>
      <c r="I71" s="178" t="n">
        <f aca="false">F71+G71+H71</f>
        <v>31000</v>
      </c>
      <c r="J71" s="178" t="n">
        <v>1488</v>
      </c>
      <c r="K71" s="178" t="n">
        <v>0</v>
      </c>
      <c r="L71" s="178" t="n">
        <v>200</v>
      </c>
      <c r="M71" s="178" t="n">
        <v>300</v>
      </c>
      <c r="N71" s="178" t="n">
        <f aca="false">I71-J71-K71-L71-M71</f>
        <v>29012</v>
      </c>
      <c r="O71" s="102" t="s">
        <v>555</v>
      </c>
    </row>
    <row r="72" customFormat="false" ht="15" hidden="false" customHeight="false" outlineLevel="0" collapsed="false">
      <c r="A72" s="106" t="s">
        <v>158</v>
      </c>
      <c r="B72" s="179" t="s">
        <v>128</v>
      </c>
      <c r="C72" s="106" t="s">
        <v>11</v>
      </c>
      <c r="D72" s="179" t="s">
        <v>24</v>
      </c>
      <c r="E72" s="180" t="n">
        <v>1493384</v>
      </c>
      <c r="F72" s="180" t="n">
        <v>49780</v>
      </c>
      <c r="G72" s="180" t="n">
        <v>24890</v>
      </c>
      <c r="H72" s="180" t="n">
        <v>49779</v>
      </c>
      <c r="I72" s="180" t="n">
        <f aca="false">F72+G72+H72</f>
        <v>124449</v>
      </c>
      <c r="J72" s="180" t="n">
        <v>5974</v>
      </c>
      <c r="K72" s="180" t="n">
        <v>0</v>
      </c>
      <c r="L72" s="180" t="n">
        <v>200</v>
      </c>
      <c r="M72" s="180" t="n">
        <v>11556</v>
      </c>
      <c r="N72" s="180" t="n">
        <f aca="false">I72-J72-K72-L72-M72</f>
        <v>106719</v>
      </c>
      <c r="O72" s="106" t="s">
        <v>555</v>
      </c>
    </row>
    <row r="73" customFormat="false" ht="15" hidden="false" customHeight="false" outlineLevel="0" collapsed="false">
      <c r="A73" s="102" t="s">
        <v>159</v>
      </c>
      <c r="B73" s="177" t="s">
        <v>160</v>
      </c>
      <c r="C73" s="102" t="s">
        <v>11</v>
      </c>
      <c r="D73" s="177" t="s">
        <v>24</v>
      </c>
      <c r="E73" s="178" t="n">
        <v>2277937</v>
      </c>
      <c r="F73" s="178" t="n">
        <v>75931</v>
      </c>
      <c r="G73" s="178" t="n">
        <v>37966</v>
      </c>
      <c r="H73" s="178" t="n">
        <v>75931</v>
      </c>
      <c r="I73" s="178" t="n">
        <f aca="false">F73+G73+H73</f>
        <v>189828</v>
      </c>
      <c r="J73" s="178" t="n">
        <v>9112</v>
      </c>
      <c r="K73" s="178" t="n">
        <v>0</v>
      </c>
      <c r="L73" s="178" t="n">
        <v>200</v>
      </c>
      <c r="M73" s="178" t="n">
        <v>31115</v>
      </c>
      <c r="N73" s="178" t="n">
        <f aca="false">I73-J73-K73-L73-M73</f>
        <v>149401</v>
      </c>
      <c r="O73" s="102" t="s">
        <v>555</v>
      </c>
    </row>
    <row r="74" customFormat="false" ht="15" hidden="false" customHeight="false" outlineLevel="0" collapsed="false">
      <c r="A74" s="106" t="s">
        <v>452</v>
      </c>
      <c r="B74" s="179" t="s">
        <v>453</v>
      </c>
      <c r="C74" s="106" t="s">
        <v>11</v>
      </c>
      <c r="D74" s="179" t="s">
        <v>24</v>
      </c>
      <c r="E74" s="180" t="n">
        <v>1610620</v>
      </c>
      <c r="F74" s="180" t="n">
        <v>53687</v>
      </c>
      <c r="G74" s="180" t="n">
        <v>26844</v>
      </c>
      <c r="H74" s="180" t="n">
        <v>53687</v>
      </c>
      <c r="I74" s="180" t="n">
        <f aca="false">F74+G74+H74</f>
        <v>134218</v>
      </c>
      <c r="J74" s="180" t="n">
        <v>6442</v>
      </c>
      <c r="K74" s="180" t="n">
        <v>0</v>
      </c>
      <c r="L74" s="180" t="n">
        <v>200</v>
      </c>
      <c r="M74" s="180" t="n">
        <v>14432</v>
      </c>
      <c r="N74" s="180" t="n">
        <f aca="false">I74-J74-K74-L74-M74</f>
        <v>113144</v>
      </c>
      <c r="O74" s="106" t="s">
        <v>555</v>
      </c>
    </row>
    <row r="75" customFormat="false" ht="15" hidden="false" customHeight="false" outlineLevel="0" collapsed="false">
      <c r="A75" s="102" t="s">
        <v>454</v>
      </c>
      <c r="B75" s="177" t="s">
        <v>455</v>
      </c>
      <c r="C75" s="102" t="s">
        <v>11</v>
      </c>
      <c r="D75" s="177" t="s">
        <v>24</v>
      </c>
      <c r="E75" s="178" t="n">
        <v>2406890</v>
      </c>
      <c r="F75" s="178" t="n">
        <v>80230</v>
      </c>
      <c r="G75" s="178" t="n">
        <v>40115</v>
      </c>
      <c r="H75" s="178" t="n">
        <v>80230</v>
      </c>
      <c r="I75" s="178" t="n">
        <f aca="false">F75+G75+H75</f>
        <v>200575</v>
      </c>
      <c r="J75" s="178" t="n">
        <v>9628</v>
      </c>
      <c r="K75" s="178" t="n">
        <v>0</v>
      </c>
      <c r="L75" s="178" t="n">
        <v>200</v>
      </c>
      <c r="M75" s="178" t="n">
        <v>34339</v>
      </c>
      <c r="N75" s="178" t="n">
        <f aca="false">I75-J75-K75-L75-M75</f>
        <v>156408</v>
      </c>
      <c r="O75" s="102" t="s">
        <v>555</v>
      </c>
    </row>
    <row r="76" customFormat="false" ht="15" hidden="false" customHeight="false" outlineLevel="0" collapsed="false">
      <c r="A76" s="106" t="s">
        <v>456</v>
      </c>
      <c r="B76" s="179" t="s">
        <v>69</v>
      </c>
      <c r="C76" s="106" t="s">
        <v>11</v>
      </c>
      <c r="D76" s="179" t="s">
        <v>24</v>
      </c>
      <c r="E76" s="180" t="n">
        <v>1967335</v>
      </c>
      <c r="F76" s="180" t="n">
        <v>65578</v>
      </c>
      <c r="G76" s="180" t="n">
        <v>32789</v>
      </c>
      <c r="H76" s="180" t="n">
        <v>65578</v>
      </c>
      <c r="I76" s="180" t="n">
        <f aca="false">F76+G76+H76</f>
        <v>163945</v>
      </c>
      <c r="J76" s="180" t="n">
        <v>7869</v>
      </c>
      <c r="K76" s="180" t="n">
        <v>0</v>
      </c>
      <c r="L76" s="180" t="n">
        <v>200</v>
      </c>
      <c r="M76" s="180" t="n">
        <v>23350</v>
      </c>
      <c r="N76" s="180" t="n">
        <f aca="false">I76-J76-K76-L76-M76</f>
        <v>132526</v>
      </c>
      <c r="O76" s="106" t="s">
        <v>555</v>
      </c>
    </row>
    <row r="77" customFormat="false" ht="15" hidden="false" customHeight="false" outlineLevel="0" collapsed="false">
      <c r="A77" s="102" t="s">
        <v>458</v>
      </c>
      <c r="B77" s="177" t="s">
        <v>459</v>
      </c>
      <c r="C77" s="102" t="s">
        <v>11</v>
      </c>
      <c r="D77" s="177" t="s">
        <v>24</v>
      </c>
      <c r="E77" s="178" t="n">
        <v>2288197</v>
      </c>
      <c r="F77" s="178" t="n">
        <v>76273</v>
      </c>
      <c r="G77" s="178" t="n">
        <v>38137</v>
      </c>
      <c r="H77" s="178" t="n">
        <v>76273</v>
      </c>
      <c r="I77" s="178" t="n">
        <f aca="false">F77+G77+H77</f>
        <v>190683</v>
      </c>
      <c r="J77" s="178" t="n">
        <v>9153</v>
      </c>
      <c r="K77" s="178" t="n">
        <v>0</v>
      </c>
      <c r="L77" s="178" t="n">
        <v>200</v>
      </c>
      <c r="M77" s="178" t="n">
        <v>31372</v>
      </c>
      <c r="N77" s="178" t="n">
        <f aca="false">I77-J77-K77-L77-M77</f>
        <v>149958</v>
      </c>
      <c r="O77" s="102" t="s">
        <v>555</v>
      </c>
    </row>
    <row r="78" customFormat="false" ht="15" hidden="false" customHeight="false" outlineLevel="0" collapsed="false">
      <c r="A78" s="106" t="s">
        <v>460</v>
      </c>
      <c r="B78" s="179" t="s">
        <v>461</v>
      </c>
      <c r="C78" s="106" t="s">
        <v>11</v>
      </c>
      <c r="D78" s="179" t="s">
        <v>24</v>
      </c>
      <c r="E78" s="180" t="n">
        <v>386476</v>
      </c>
      <c r="F78" s="180" t="n">
        <v>12882</v>
      </c>
      <c r="G78" s="180" t="n">
        <v>6441</v>
      </c>
      <c r="H78" s="180" t="n">
        <v>12883</v>
      </c>
      <c r="I78" s="180" t="n">
        <f aca="false">F78+G78+H78</f>
        <v>32206</v>
      </c>
      <c r="J78" s="180" t="n">
        <v>1546</v>
      </c>
      <c r="K78" s="180" t="n">
        <v>0</v>
      </c>
      <c r="L78" s="180" t="n">
        <v>200</v>
      </c>
      <c r="M78" s="180" t="n">
        <v>360</v>
      </c>
      <c r="N78" s="180" t="n">
        <f aca="false">I78-J78-K78-L78-M78</f>
        <v>30100</v>
      </c>
      <c r="O78" s="106" t="s">
        <v>555</v>
      </c>
    </row>
    <row r="79" customFormat="false" ht="15" hidden="false" customHeight="false" outlineLevel="0" collapsed="false">
      <c r="A79" s="102" t="s">
        <v>463</v>
      </c>
      <c r="B79" s="177" t="s">
        <v>464</v>
      </c>
      <c r="C79" s="102" t="s">
        <v>11</v>
      </c>
      <c r="D79" s="177" t="s">
        <v>24</v>
      </c>
      <c r="E79" s="178" t="n">
        <v>459647</v>
      </c>
      <c r="F79" s="178" t="n">
        <v>15322</v>
      </c>
      <c r="G79" s="178" t="n">
        <v>7661</v>
      </c>
      <c r="H79" s="178" t="n">
        <v>15322</v>
      </c>
      <c r="I79" s="178" t="n">
        <f aca="false">F79+G79+H79</f>
        <v>38305</v>
      </c>
      <c r="J79" s="178" t="n">
        <v>1839</v>
      </c>
      <c r="K79" s="178" t="n">
        <v>0</v>
      </c>
      <c r="L79" s="178" t="n">
        <v>200</v>
      </c>
      <c r="M79" s="178" t="n">
        <v>665</v>
      </c>
      <c r="N79" s="178" t="n">
        <f aca="false">I79-J79-K79-L79-M79</f>
        <v>35601</v>
      </c>
      <c r="O79" s="102" t="s">
        <v>555</v>
      </c>
    </row>
    <row r="80" customFormat="false" ht="15" hidden="false" customHeight="false" outlineLevel="0" collapsed="false">
      <c r="A80" s="106" t="s">
        <v>66</v>
      </c>
      <c r="B80" s="179" t="s">
        <v>67</v>
      </c>
      <c r="C80" s="106" t="s">
        <v>11</v>
      </c>
      <c r="D80" s="179" t="s">
        <v>25</v>
      </c>
      <c r="E80" s="180" t="n">
        <v>1091476</v>
      </c>
      <c r="F80" s="180" t="n">
        <v>36382</v>
      </c>
      <c r="G80" s="180" t="n">
        <v>18191</v>
      </c>
      <c r="H80" s="180" t="n">
        <v>36383</v>
      </c>
      <c r="I80" s="180" t="n">
        <f aca="false">F80+G80+H80</f>
        <v>90956</v>
      </c>
      <c r="J80" s="180" t="n">
        <v>4366</v>
      </c>
      <c r="K80" s="180" t="n">
        <v>0</v>
      </c>
      <c r="L80" s="180" t="n">
        <v>200</v>
      </c>
      <c r="M80" s="180" t="n">
        <v>5310</v>
      </c>
      <c r="N80" s="180" t="n">
        <f aca="false">I80-J80-K80-L80-M80</f>
        <v>81080</v>
      </c>
      <c r="O80" s="106" t="s">
        <v>555</v>
      </c>
    </row>
    <row r="81" customFormat="false" ht="15" hidden="false" customHeight="false" outlineLevel="0" collapsed="false">
      <c r="A81" s="102" t="s">
        <v>88</v>
      </c>
      <c r="B81" s="177" t="s">
        <v>89</v>
      </c>
      <c r="C81" s="102" t="s">
        <v>11</v>
      </c>
      <c r="D81" s="177" t="s">
        <v>25</v>
      </c>
      <c r="E81" s="178" t="n">
        <v>2750870</v>
      </c>
      <c r="F81" s="178" t="n">
        <v>91696</v>
      </c>
      <c r="G81" s="178" t="n">
        <v>45848</v>
      </c>
      <c r="H81" s="178" t="n">
        <v>91696</v>
      </c>
      <c r="I81" s="178" t="n">
        <f aca="false">F81+G81+H81</f>
        <v>229240</v>
      </c>
      <c r="J81" s="178" t="n">
        <v>11004</v>
      </c>
      <c r="K81" s="178" t="n">
        <v>0</v>
      </c>
      <c r="L81" s="178" t="n">
        <v>200</v>
      </c>
      <c r="M81" s="178" t="n">
        <v>42938</v>
      </c>
      <c r="N81" s="178" t="n">
        <f aca="false">I81-J81-K81-L81-M81</f>
        <v>175098</v>
      </c>
      <c r="O81" s="102" t="s">
        <v>555</v>
      </c>
    </row>
    <row r="82" customFormat="false" ht="15" hidden="false" customHeight="false" outlineLevel="0" collapsed="false">
      <c r="A82" s="106" t="s">
        <v>467</v>
      </c>
      <c r="B82" s="179" t="s">
        <v>468</v>
      </c>
      <c r="C82" s="106" t="s">
        <v>11</v>
      </c>
      <c r="D82" s="179" t="s">
        <v>25</v>
      </c>
      <c r="E82" s="180" t="n">
        <v>3133126</v>
      </c>
      <c r="F82" s="180" t="n">
        <v>104438</v>
      </c>
      <c r="G82" s="180" t="n">
        <v>52219</v>
      </c>
      <c r="H82" s="180" t="n">
        <v>104438</v>
      </c>
      <c r="I82" s="180" t="n">
        <f aca="false">F82+G82+H82</f>
        <v>261095</v>
      </c>
      <c r="J82" s="180" t="n">
        <v>12533</v>
      </c>
      <c r="K82" s="180" t="n">
        <v>0</v>
      </c>
      <c r="L82" s="180" t="n">
        <v>200</v>
      </c>
      <c r="M82" s="180" t="n">
        <v>52495</v>
      </c>
      <c r="N82" s="180" t="n">
        <f aca="false">I82-J82-K82-L82-M82</f>
        <v>195867</v>
      </c>
      <c r="O82" s="106" t="s">
        <v>555</v>
      </c>
    </row>
    <row r="83" customFormat="false" ht="15" hidden="false" customHeight="false" outlineLevel="0" collapsed="false">
      <c r="A83" s="102" t="s">
        <v>469</v>
      </c>
      <c r="B83" s="177" t="s">
        <v>470</v>
      </c>
      <c r="C83" s="102" t="s">
        <v>11</v>
      </c>
      <c r="D83" s="177" t="s">
        <v>25</v>
      </c>
      <c r="E83" s="178" t="n">
        <v>2565108</v>
      </c>
      <c r="F83" s="178" t="n">
        <v>85504</v>
      </c>
      <c r="G83" s="178" t="n">
        <v>42752</v>
      </c>
      <c r="H83" s="178" t="n">
        <v>85504</v>
      </c>
      <c r="I83" s="178" t="n">
        <f aca="false">F83+G83+H83</f>
        <v>213760</v>
      </c>
      <c r="J83" s="178" t="n">
        <v>10260</v>
      </c>
      <c r="K83" s="178" t="n">
        <v>0</v>
      </c>
      <c r="L83" s="178" t="n">
        <v>200</v>
      </c>
      <c r="M83" s="178" t="n">
        <v>38294</v>
      </c>
      <c r="N83" s="178" t="n">
        <f aca="false">I83-J83-K83-L83-M83</f>
        <v>165006</v>
      </c>
      <c r="O83" s="102" t="s">
        <v>555</v>
      </c>
    </row>
    <row r="84" customFormat="false" ht="15" hidden="false" customHeight="false" outlineLevel="0" collapsed="false">
      <c r="A84" s="106" t="s">
        <v>472</v>
      </c>
      <c r="B84" s="179" t="s">
        <v>473</v>
      </c>
      <c r="C84" s="106" t="s">
        <v>11</v>
      </c>
      <c r="D84" s="179" t="s">
        <v>25</v>
      </c>
      <c r="E84" s="180" t="n">
        <v>2141110</v>
      </c>
      <c r="F84" s="180" t="n">
        <v>71370</v>
      </c>
      <c r="G84" s="180" t="n">
        <v>35685</v>
      </c>
      <c r="H84" s="180" t="n">
        <v>71370</v>
      </c>
      <c r="I84" s="180" t="n">
        <f aca="false">F84+G84+H84</f>
        <v>178425</v>
      </c>
      <c r="J84" s="180" t="n">
        <v>8564</v>
      </c>
      <c r="K84" s="180" t="n">
        <v>0</v>
      </c>
      <c r="L84" s="180" t="n">
        <v>200</v>
      </c>
      <c r="M84" s="180" t="n">
        <v>27694</v>
      </c>
      <c r="N84" s="180" t="n">
        <f aca="false">I84-J84-K84-L84-M84</f>
        <v>141967</v>
      </c>
      <c r="O84" s="106" t="s">
        <v>555</v>
      </c>
    </row>
    <row r="85" customFormat="false" ht="15" hidden="false" customHeight="false" outlineLevel="0" collapsed="false">
      <c r="A85" s="102" t="s">
        <v>474</v>
      </c>
      <c r="B85" s="177" t="s">
        <v>475</v>
      </c>
      <c r="C85" s="102" t="s">
        <v>11</v>
      </c>
      <c r="D85" s="177" t="s">
        <v>25</v>
      </c>
      <c r="E85" s="178" t="n">
        <v>457040</v>
      </c>
      <c r="F85" s="178" t="n">
        <v>15235</v>
      </c>
      <c r="G85" s="178" t="n">
        <v>7617</v>
      </c>
      <c r="H85" s="178" t="n">
        <v>15235</v>
      </c>
      <c r="I85" s="178" t="n">
        <f aca="false">F85+G85+H85</f>
        <v>38087</v>
      </c>
      <c r="J85" s="178" t="n">
        <v>1828</v>
      </c>
      <c r="K85" s="178" t="n">
        <v>0</v>
      </c>
      <c r="L85" s="178" t="n">
        <v>200</v>
      </c>
      <c r="M85" s="178" t="n">
        <v>654</v>
      </c>
      <c r="N85" s="178" t="n">
        <f aca="false">I85-J85-K85-L85-M85</f>
        <v>35405</v>
      </c>
      <c r="O85" s="102" t="s">
        <v>555</v>
      </c>
    </row>
    <row r="86" customFormat="false" ht="15" hidden="false" customHeight="false" outlineLevel="0" collapsed="false">
      <c r="A86" s="106" t="s">
        <v>480</v>
      </c>
      <c r="B86" s="179" t="s">
        <v>481</v>
      </c>
      <c r="C86" s="106" t="s">
        <v>12</v>
      </c>
      <c r="D86" s="179" t="s">
        <v>15</v>
      </c>
      <c r="E86" s="181" t="n">
        <v>226566</v>
      </c>
      <c r="F86" s="181" t="n">
        <v>18880</v>
      </c>
      <c r="G86" s="181" t="n">
        <v>0</v>
      </c>
      <c r="H86" s="181" t="n">
        <v>0</v>
      </c>
      <c r="I86" s="181" t="n">
        <f aca="false">F86+G86+H86</f>
        <v>18880</v>
      </c>
      <c r="J86" s="181" t="n">
        <v>6042</v>
      </c>
      <c r="K86" s="181" t="n">
        <v>1171</v>
      </c>
      <c r="L86" s="181" t="n">
        <v>274</v>
      </c>
      <c r="M86" s="181" t="n">
        <v>944</v>
      </c>
      <c r="N86" s="181" t="n">
        <f aca="false">I86-J86-K86-L86-M86</f>
        <v>10449</v>
      </c>
      <c r="O86" s="106" t="s">
        <v>556</v>
      </c>
    </row>
    <row r="87" customFormat="false" ht="15" hidden="false" customHeight="false" outlineLevel="0" collapsed="false">
      <c r="A87" s="102" t="s">
        <v>482</v>
      </c>
      <c r="B87" s="177" t="s">
        <v>122</v>
      </c>
      <c r="C87" s="102" t="s">
        <v>12</v>
      </c>
      <c r="D87" s="177" t="s">
        <v>16</v>
      </c>
      <c r="E87" s="182" t="n">
        <v>207460</v>
      </c>
      <c r="F87" s="182" t="n">
        <v>17288</v>
      </c>
      <c r="G87" s="182" t="n">
        <v>0</v>
      </c>
      <c r="H87" s="182" t="n">
        <v>0</v>
      </c>
      <c r="I87" s="182" t="n">
        <f aca="false">F87+G87+H87</f>
        <v>17288</v>
      </c>
      <c r="J87" s="182" t="n">
        <v>5532</v>
      </c>
      <c r="K87" s="182" t="n">
        <v>1072</v>
      </c>
      <c r="L87" s="182" t="n">
        <v>251</v>
      </c>
      <c r="M87" s="182" t="n">
        <v>864</v>
      </c>
      <c r="N87" s="182" t="n">
        <f aca="false">I87-J87-K87-L87-M87</f>
        <v>9569</v>
      </c>
      <c r="O87" s="102" t="s">
        <v>556</v>
      </c>
    </row>
    <row r="88" customFormat="false" ht="15" hidden="false" customHeight="false" outlineLevel="0" collapsed="false">
      <c r="A88" s="106" t="s">
        <v>483</v>
      </c>
      <c r="B88" s="179" t="s">
        <v>484</v>
      </c>
      <c r="C88" s="106" t="s">
        <v>12</v>
      </c>
      <c r="D88" s="179" t="s">
        <v>20</v>
      </c>
      <c r="E88" s="181" t="n">
        <v>267841</v>
      </c>
      <c r="F88" s="181" t="n">
        <v>22320</v>
      </c>
      <c r="G88" s="181" t="n">
        <v>0</v>
      </c>
      <c r="H88" s="181" t="n">
        <v>0</v>
      </c>
      <c r="I88" s="181" t="n">
        <f aca="false">F88+G88+H88</f>
        <v>22320</v>
      </c>
      <c r="J88" s="181" t="n">
        <v>7812</v>
      </c>
      <c r="K88" s="181" t="n">
        <v>1384</v>
      </c>
      <c r="L88" s="181" t="n">
        <v>324</v>
      </c>
      <c r="M88" s="181" t="n">
        <v>1116</v>
      </c>
      <c r="N88" s="181" t="n">
        <f aca="false">I88-J88-K88-L88-M88</f>
        <v>11684</v>
      </c>
      <c r="O88" s="106" t="s">
        <v>556</v>
      </c>
    </row>
    <row r="89" customFormat="false" ht="15" hidden="false" customHeight="false" outlineLevel="0" collapsed="false">
      <c r="A89" s="102" t="s">
        <v>485</v>
      </c>
      <c r="B89" s="177" t="s">
        <v>486</v>
      </c>
      <c r="C89" s="102" t="s">
        <v>12</v>
      </c>
      <c r="D89" s="177" t="s">
        <v>21</v>
      </c>
      <c r="E89" s="182" t="n">
        <v>214993</v>
      </c>
      <c r="F89" s="182" t="n">
        <v>17916</v>
      </c>
      <c r="G89" s="182" t="n">
        <v>0</v>
      </c>
      <c r="H89" s="182" t="n">
        <v>0</v>
      </c>
      <c r="I89" s="182" t="n">
        <f aca="false">F89+G89+H89</f>
        <v>17916</v>
      </c>
      <c r="J89" s="182" t="n">
        <v>5733</v>
      </c>
      <c r="K89" s="182" t="n">
        <v>1111</v>
      </c>
      <c r="L89" s="182" t="n">
        <v>260</v>
      </c>
      <c r="M89" s="182" t="n">
        <v>896</v>
      </c>
      <c r="N89" s="182" t="n">
        <f aca="false">I89-J89-K89-L89-M89</f>
        <v>9916</v>
      </c>
      <c r="O89" s="102" t="s">
        <v>556</v>
      </c>
    </row>
    <row r="90" customFormat="false" ht="15" hidden="false" customHeight="false" outlineLevel="0" collapsed="false">
      <c r="A90" s="106" t="s">
        <v>488</v>
      </c>
      <c r="B90" s="179" t="s">
        <v>489</v>
      </c>
      <c r="C90" s="106" t="s">
        <v>12</v>
      </c>
      <c r="D90" s="179" t="s">
        <v>22</v>
      </c>
      <c r="E90" s="181" t="n">
        <v>271988</v>
      </c>
      <c r="F90" s="181" t="n">
        <v>22666</v>
      </c>
      <c r="G90" s="181" t="n">
        <v>0</v>
      </c>
      <c r="H90" s="181" t="n">
        <v>0</v>
      </c>
      <c r="I90" s="181" t="n">
        <f aca="false">F90+G90+H90</f>
        <v>22666</v>
      </c>
      <c r="J90" s="181" t="n">
        <v>7933</v>
      </c>
      <c r="K90" s="181" t="n">
        <v>1405</v>
      </c>
      <c r="L90" s="181" t="n">
        <v>329</v>
      </c>
      <c r="M90" s="181" t="n">
        <v>1133</v>
      </c>
      <c r="N90" s="181" t="n">
        <f aca="false">I90-J90-K90-L90-M90</f>
        <v>11866</v>
      </c>
      <c r="O90" s="106" t="s">
        <v>556</v>
      </c>
    </row>
    <row r="91" customFormat="false" ht="15" hidden="false" customHeight="false" outlineLevel="0" collapsed="false">
      <c r="A91" s="102" t="s">
        <v>490</v>
      </c>
      <c r="B91" s="177" t="s">
        <v>491</v>
      </c>
      <c r="C91" s="102" t="s">
        <v>12</v>
      </c>
      <c r="D91" s="177" t="s">
        <v>23</v>
      </c>
      <c r="E91" s="182" t="n">
        <v>269593</v>
      </c>
      <c r="F91" s="182" t="n">
        <v>22466</v>
      </c>
      <c r="G91" s="182" t="n">
        <v>0</v>
      </c>
      <c r="H91" s="182" t="n">
        <v>0</v>
      </c>
      <c r="I91" s="182" t="n">
        <f aca="false">F91+G91+H91</f>
        <v>22466</v>
      </c>
      <c r="J91" s="182" t="n">
        <v>7863</v>
      </c>
      <c r="K91" s="182" t="n">
        <v>1393</v>
      </c>
      <c r="L91" s="182" t="n">
        <v>326</v>
      </c>
      <c r="M91" s="182" t="n">
        <v>1123</v>
      </c>
      <c r="N91" s="182" t="n">
        <f aca="false">I91-J91-K91-L91-M91</f>
        <v>11761</v>
      </c>
      <c r="O91" s="102" t="s">
        <v>556</v>
      </c>
    </row>
    <row r="92" customFormat="false" ht="15" hidden="false" customHeight="false" outlineLevel="0" collapsed="false">
      <c r="A92" s="106" t="s">
        <v>492</v>
      </c>
      <c r="B92" s="179" t="s">
        <v>493</v>
      </c>
      <c r="C92" s="106" t="s">
        <v>12</v>
      </c>
      <c r="D92" s="179" t="s">
        <v>15</v>
      </c>
      <c r="E92" s="181" t="n">
        <v>79679</v>
      </c>
      <c r="F92" s="181" t="n">
        <v>6640</v>
      </c>
      <c r="G92" s="181" t="n">
        <v>0</v>
      </c>
      <c r="H92" s="181" t="n">
        <v>0</v>
      </c>
      <c r="I92" s="181" t="n">
        <f aca="false">F92+G92+H92</f>
        <v>6640</v>
      </c>
      <c r="J92" s="181" t="n">
        <v>1461</v>
      </c>
      <c r="K92" s="181" t="n">
        <v>412</v>
      </c>
      <c r="L92" s="181" t="n">
        <v>96</v>
      </c>
      <c r="M92" s="181" t="n">
        <v>332</v>
      </c>
      <c r="N92" s="181" t="n">
        <f aca="false">I92-J92-K92-L92-M92</f>
        <v>4339</v>
      </c>
      <c r="O92" s="106" t="s">
        <v>556</v>
      </c>
    </row>
    <row r="93" customFormat="false" ht="15" hidden="false" customHeight="false" outlineLevel="0" collapsed="false">
      <c r="A93" s="102" t="s">
        <v>494</v>
      </c>
      <c r="B93" s="177" t="s">
        <v>495</v>
      </c>
      <c r="C93" s="102" t="s">
        <v>12</v>
      </c>
      <c r="D93" s="177" t="s">
        <v>16</v>
      </c>
      <c r="E93" s="182" t="n">
        <v>159920</v>
      </c>
      <c r="F93" s="182" t="n">
        <v>13327</v>
      </c>
      <c r="G93" s="182" t="n">
        <v>0</v>
      </c>
      <c r="H93" s="182" t="n">
        <v>0</v>
      </c>
      <c r="I93" s="182" t="n">
        <f aca="false">F93+G93+H93</f>
        <v>13327</v>
      </c>
      <c r="J93" s="182" t="n">
        <v>3198</v>
      </c>
      <c r="K93" s="182" t="n">
        <v>826</v>
      </c>
      <c r="L93" s="182" t="n">
        <v>193</v>
      </c>
      <c r="M93" s="182" t="n">
        <v>666</v>
      </c>
      <c r="N93" s="182" t="n">
        <f aca="false">I93-J93-K93-L93-M93</f>
        <v>8444</v>
      </c>
      <c r="O93" s="102" t="s">
        <v>556</v>
      </c>
    </row>
    <row r="94" customFormat="false" ht="15" hidden="false" customHeight="false" outlineLevel="0" collapsed="false">
      <c r="A94" s="106" t="s">
        <v>496</v>
      </c>
      <c r="B94" s="179" t="s">
        <v>114</v>
      </c>
      <c r="C94" s="106" t="s">
        <v>12</v>
      </c>
      <c r="D94" s="179" t="s">
        <v>16</v>
      </c>
      <c r="E94" s="181" t="n">
        <v>161613</v>
      </c>
      <c r="F94" s="181" t="n">
        <v>13468</v>
      </c>
      <c r="G94" s="181" t="n">
        <v>0</v>
      </c>
      <c r="H94" s="181" t="n">
        <v>0</v>
      </c>
      <c r="I94" s="181" t="n">
        <f aca="false">F94+G94+H94</f>
        <v>13468</v>
      </c>
      <c r="J94" s="181" t="n">
        <v>3232</v>
      </c>
      <c r="K94" s="181" t="n">
        <v>835</v>
      </c>
      <c r="L94" s="181" t="n">
        <v>195</v>
      </c>
      <c r="M94" s="181" t="n">
        <v>673</v>
      </c>
      <c r="N94" s="181" t="n">
        <f aca="false">I94-J94-K94-L94-M94</f>
        <v>8533</v>
      </c>
      <c r="O94" s="106" t="s">
        <v>556</v>
      </c>
    </row>
    <row r="95" customFormat="false" ht="15" hidden="false" customHeight="false" outlineLevel="0" collapsed="false">
      <c r="A95" s="102" t="s">
        <v>497</v>
      </c>
      <c r="B95" s="177" t="s">
        <v>498</v>
      </c>
      <c r="C95" s="102" t="s">
        <v>12</v>
      </c>
      <c r="D95" s="177" t="s">
        <v>20</v>
      </c>
      <c r="E95" s="182" t="n">
        <v>131215</v>
      </c>
      <c r="F95" s="182" t="n">
        <v>10935</v>
      </c>
      <c r="G95" s="182" t="n">
        <v>0</v>
      </c>
      <c r="H95" s="182" t="n">
        <v>0</v>
      </c>
      <c r="I95" s="182" t="n">
        <f aca="false">F95+G95+H95</f>
        <v>10935</v>
      </c>
      <c r="J95" s="182" t="n">
        <v>2624</v>
      </c>
      <c r="K95" s="182" t="n">
        <v>678</v>
      </c>
      <c r="L95" s="182" t="n">
        <v>159</v>
      </c>
      <c r="M95" s="182" t="n">
        <v>547</v>
      </c>
      <c r="N95" s="182" t="n">
        <f aca="false">I95-J95-K95-L95-M95</f>
        <v>6927</v>
      </c>
      <c r="O95" s="102" t="s">
        <v>556</v>
      </c>
    </row>
    <row r="96" customFormat="false" ht="15" hidden="false" customHeight="false" outlineLevel="0" collapsed="false">
      <c r="A96" s="106" t="s">
        <v>499</v>
      </c>
      <c r="B96" s="179" t="s">
        <v>500</v>
      </c>
      <c r="C96" s="106" t="s">
        <v>12</v>
      </c>
      <c r="D96" s="179" t="s">
        <v>20</v>
      </c>
      <c r="E96" s="181" t="n">
        <v>155005</v>
      </c>
      <c r="F96" s="181" t="n">
        <v>12917</v>
      </c>
      <c r="G96" s="181" t="n">
        <v>0</v>
      </c>
      <c r="H96" s="181" t="n">
        <v>0</v>
      </c>
      <c r="I96" s="181" t="n">
        <f aca="false">F96+G96+H96</f>
        <v>12917</v>
      </c>
      <c r="J96" s="181" t="n">
        <v>3100</v>
      </c>
      <c r="K96" s="181" t="n">
        <v>801</v>
      </c>
      <c r="L96" s="181" t="n">
        <v>187</v>
      </c>
      <c r="M96" s="181" t="n">
        <v>646</v>
      </c>
      <c r="N96" s="181" t="n">
        <f aca="false">I96-J96-K96-L96-M96</f>
        <v>8183</v>
      </c>
      <c r="O96" s="106" t="s">
        <v>556</v>
      </c>
    </row>
    <row r="97" customFormat="false" ht="15" hidden="false" customHeight="false" outlineLevel="0" collapsed="false">
      <c r="A97" s="102" t="s">
        <v>501</v>
      </c>
      <c r="B97" s="177" t="s">
        <v>502</v>
      </c>
      <c r="C97" s="102" t="s">
        <v>12</v>
      </c>
      <c r="D97" s="177" t="s">
        <v>21</v>
      </c>
      <c r="E97" s="182" t="n">
        <v>167784</v>
      </c>
      <c r="F97" s="182" t="n">
        <v>13982</v>
      </c>
      <c r="G97" s="182" t="n">
        <v>0</v>
      </c>
      <c r="H97" s="182" t="n">
        <v>0</v>
      </c>
      <c r="I97" s="182" t="n">
        <f aca="false">F97+G97+H97</f>
        <v>13982</v>
      </c>
      <c r="J97" s="182" t="n">
        <v>3356</v>
      </c>
      <c r="K97" s="182" t="n">
        <v>867</v>
      </c>
      <c r="L97" s="182" t="n">
        <v>203</v>
      </c>
      <c r="M97" s="182" t="n">
        <v>699</v>
      </c>
      <c r="N97" s="182" t="n">
        <f aca="false">I97-J97-K97-L97-M97</f>
        <v>8857</v>
      </c>
      <c r="O97" s="102" t="s">
        <v>556</v>
      </c>
    </row>
    <row r="98" customFormat="false" ht="15" hidden="false" customHeight="false" outlineLevel="0" collapsed="false">
      <c r="A98" s="106" t="s">
        <v>503</v>
      </c>
      <c r="B98" s="179" t="s">
        <v>504</v>
      </c>
      <c r="C98" s="106" t="s">
        <v>12</v>
      </c>
      <c r="D98" s="179" t="s">
        <v>21</v>
      </c>
      <c r="E98" s="181" t="n">
        <v>136043</v>
      </c>
      <c r="F98" s="181" t="n">
        <v>11337</v>
      </c>
      <c r="G98" s="181" t="n">
        <v>0</v>
      </c>
      <c r="H98" s="181" t="n">
        <v>0</v>
      </c>
      <c r="I98" s="181" t="n">
        <f aca="false">F98+G98+H98</f>
        <v>11337</v>
      </c>
      <c r="J98" s="181" t="n">
        <v>2721</v>
      </c>
      <c r="K98" s="181" t="n">
        <v>703</v>
      </c>
      <c r="L98" s="181" t="n">
        <v>164</v>
      </c>
      <c r="M98" s="181" t="n">
        <v>567</v>
      </c>
      <c r="N98" s="181" t="n">
        <f aca="false">I98-J98-K98-L98-M98</f>
        <v>7182</v>
      </c>
      <c r="O98" s="106" t="s">
        <v>556</v>
      </c>
    </row>
    <row r="99" customFormat="false" ht="15" hidden="false" customHeight="false" outlineLevel="0" collapsed="false">
      <c r="A99" s="102" t="s">
        <v>505</v>
      </c>
      <c r="B99" s="177" t="s">
        <v>126</v>
      </c>
      <c r="C99" s="102" t="s">
        <v>12</v>
      </c>
      <c r="D99" s="177" t="s">
        <v>22</v>
      </c>
      <c r="E99" s="182" t="n">
        <v>85708</v>
      </c>
      <c r="F99" s="182" t="n">
        <v>7142</v>
      </c>
      <c r="G99" s="182" t="n">
        <v>0</v>
      </c>
      <c r="H99" s="182" t="n">
        <v>0</v>
      </c>
      <c r="I99" s="182" t="n">
        <f aca="false">F99+G99+H99</f>
        <v>7142</v>
      </c>
      <c r="J99" s="182" t="n">
        <v>1571</v>
      </c>
      <c r="K99" s="182" t="n">
        <v>443</v>
      </c>
      <c r="L99" s="182" t="n">
        <v>104</v>
      </c>
      <c r="M99" s="182" t="n">
        <v>357</v>
      </c>
      <c r="N99" s="182" t="n">
        <f aca="false">I99-J99-K99-L99-M99</f>
        <v>4667</v>
      </c>
      <c r="O99" s="102" t="s">
        <v>556</v>
      </c>
    </row>
    <row r="100" customFormat="false" ht="15" hidden="false" customHeight="false" outlineLevel="0" collapsed="false">
      <c r="A100" s="106" t="s">
        <v>506</v>
      </c>
      <c r="B100" s="179" t="s">
        <v>504</v>
      </c>
      <c r="C100" s="106" t="s">
        <v>12</v>
      </c>
      <c r="D100" s="179" t="s">
        <v>23</v>
      </c>
      <c r="E100" s="181" t="n">
        <v>150294</v>
      </c>
      <c r="F100" s="181" t="n">
        <v>12524</v>
      </c>
      <c r="G100" s="181" t="n">
        <v>0</v>
      </c>
      <c r="H100" s="181" t="n">
        <v>0</v>
      </c>
      <c r="I100" s="181" t="n">
        <f aca="false">F100+G100+H100</f>
        <v>12524</v>
      </c>
      <c r="J100" s="181" t="n">
        <v>3006</v>
      </c>
      <c r="K100" s="181" t="n">
        <v>776</v>
      </c>
      <c r="L100" s="181" t="n">
        <v>182</v>
      </c>
      <c r="M100" s="181" t="n">
        <v>626</v>
      </c>
      <c r="N100" s="181" t="n">
        <f aca="false">I100-J100-K100-L100-M100</f>
        <v>7934</v>
      </c>
      <c r="O100" s="106" t="s">
        <v>556</v>
      </c>
    </row>
    <row r="101" customFormat="false" ht="15" hidden="false" customHeight="false" outlineLevel="0" collapsed="false">
      <c r="A101" s="102" t="s">
        <v>507</v>
      </c>
      <c r="B101" s="177" t="s">
        <v>508</v>
      </c>
      <c r="C101" s="102" t="s">
        <v>12</v>
      </c>
      <c r="D101" s="177" t="s">
        <v>23</v>
      </c>
      <c r="E101" s="182" t="n">
        <v>144867</v>
      </c>
      <c r="F101" s="182" t="n">
        <v>12072</v>
      </c>
      <c r="G101" s="182" t="n">
        <v>0</v>
      </c>
      <c r="H101" s="182" t="n">
        <v>0</v>
      </c>
      <c r="I101" s="182" t="n">
        <f aca="false">F101+G101+H101</f>
        <v>12072</v>
      </c>
      <c r="J101" s="182" t="n">
        <v>2897</v>
      </c>
      <c r="K101" s="182" t="n">
        <v>748</v>
      </c>
      <c r="L101" s="182" t="n">
        <v>175</v>
      </c>
      <c r="M101" s="182" t="n">
        <v>604</v>
      </c>
      <c r="N101" s="182" t="n">
        <f aca="false">I101-J101-K101-L101-M101</f>
        <v>7648</v>
      </c>
      <c r="O101" s="102" t="s">
        <v>556</v>
      </c>
    </row>
    <row r="102" customFormat="false" ht="15" hidden="false" customHeight="false" outlineLevel="0" collapsed="false">
      <c r="A102" s="106" t="s">
        <v>86</v>
      </c>
      <c r="B102" s="179" t="s">
        <v>87</v>
      </c>
      <c r="C102" s="106" t="s">
        <v>12</v>
      </c>
      <c r="D102" s="179" t="s">
        <v>15</v>
      </c>
      <c r="E102" s="181" t="n">
        <v>92691</v>
      </c>
      <c r="F102" s="181" t="n">
        <v>7724</v>
      </c>
      <c r="G102" s="181" t="n">
        <v>0</v>
      </c>
      <c r="H102" s="181" t="n">
        <v>0</v>
      </c>
      <c r="I102" s="181" t="n">
        <f aca="false">F102+G102+H102</f>
        <v>7724</v>
      </c>
      <c r="J102" s="181" t="n">
        <v>1699</v>
      </c>
      <c r="K102" s="181" t="n">
        <v>479</v>
      </c>
      <c r="L102" s="181" t="n">
        <v>112</v>
      </c>
      <c r="M102" s="181" t="n">
        <v>386</v>
      </c>
      <c r="N102" s="181" t="n">
        <f aca="false">I102-J102-K102-L102-M102</f>
        <v>5048</v>
      </c>
      <c r="O102" s="106" t="s">
        <v>556</v>
      </c>
    </row>
    <row r="103" customFormat="false" ht="15" hidden="false" customHeight="false" outlineLevel="0" collapsed="false">
      <c r="A103" s="102" t="s">
        <v>510</v>
      </c>
      <c r="B103" s="177" t="s">
        <v>511</v>
      </c>
      <c r="C103" s="102" t="s">
        <v>12</v>
      </c>
      <c r="D103" s="177" t="s">
        <v>15</v>
      </c>
      <c r="E103" s="182" t="n">
        <v>111500</v>
      </c>
      <c r="F103" s="182" t="n">
        <v>9292</v>
      </c>
      <c r="G103" s="182" t="n">
        <v>0</v>
      </c>
      <c r="H103" s="182" t="n">
        <v>0</v>
      </c>
      <c r="I103" s="182" t="n">
        <f aca="false">F103+G103+H103</f>
        <v>9292</v>
      </c>
      <c r="J103" s="182" t="n">
        <v>2230</v>
      </c>
      <c r="K103" s="182" t="n">
        <v>576</v>
      </c>
      <c r="L103" s="182" t="n">
        <v>135</v>
      </c>
      <c r="M103" s="182" t="n">
        <v>465</v>
      </c>
      <c r="N103" s="182" t="n">
        <f aca="false">I103-J103-K103-L103-M103</f>
        <v>5886</v>
      </c>
      <c r="O103" s="102" t="s">
        <v>556</v>
      </c>
    </row>
    <row r="104" customFormat="false" ht="15" hidden="false" customHeight="false" outlineLevel="0" collapsed="false">
      <c r="A104" s="106" t="s">
        <v>82</v>
      </c>
      <c r="B104" s="179" t="s">
        <v>83</v>
      </c>
      <c r="C104" s="106" t="s">
        <v>12</v>
      </c>
      <c r="D104" s="179" t="s">
        <v>16</v>
      </c>
      <c r="E104" s="181" t="n">
        <v>134392</v>
      </c>
      <c r="F104" s="181" t="n">
        <v>11199</v>
      </c>
      <c r="G104" s="181" t="n">
        <v>0</v>
      </c>
      <c r="H104" s="181" t="n">
        <v>0</v>
      </c>
      <c r="I104" s="181" t="n">
        <f aca="false">F104+G104+H104</f>
        <v>11199</v>
      </c>
      <c r="J104" s="181" t="n">
        <v>2688</v>
      </c>
      <c r="K104" s="181" t="n">
        <v>694</v>
      </c>
      <c r="L104" s="181" t="n">
        <v>162</v>
      </c>
      <c r="M104" s="181" t="n">
        <v>560</v>
      </c>
      <c r="N104" s="181" t="n">
        <f aca="false">I104-J104-K104-L104-M104</f>
        <v>7095</v>
      </c>
      <c r="O104" s="106" t="s">
        <v>556</v>
      </c>
    </row>
    <row r="105" customFormat="false" ht="15" hidden="false" customHeight="false" outlineLevel="0" collapsed="false">
      <c r="A105" s="102" t="s">
        <v>512</v>
      </c>
      <c r="B105" s="177" t="s">
        <v>513</v>
      </c>
      <c r="C105" s="102" t="s">
        <v>12</v>
      </c>
      <c r="D105" s="177" t="s">
        <v>16</v>
      </c>
      <c r="E105" s="182" t="n">
        <v>164866</v>
      </c>
      <c r="F105" s="182" t="n">
        <v>13739</v>
      </c>
      <c r="G105" s="182" t="n">
        <v>0</v>
      </c>
      <c r="H105" s="182" t="n">
        <v>0</v>
      </c>
      <c r="I105" s="182" t="n">
        <f aca="false">F105+G105+H105</f>
        <v>13739</v>
      </c>
      <c r="J105" s="182" t="n">
        <v>3297</v>
      </c>
      <c r="K105" s="182" t="n">
        <v>852</v>
      </c>
      <c r="L105" s="182" t="n">
        <v>199</v>
      </c>
      <c r="M105" s="182" t="n">
        <v>687</v>
      </c>
      <c r="N105" s="182" t="n">
        <f aca="false">I105-J105-K105-L105-M105</f>
        <v>8704</v>
      </c>
      <c r="O105" s="102" t="s">
        <v>556</v>
      </c>
    </row>
    <row r="106" customFormat="false" ht="15" hidden="false" customHeight="false" outlineLevel="0" collapsed="false">
      <c r="A106" s="106" t="s">
        <v>514</v>
      </c>
      <c r="B106" s="179" t="s">
        <v>515</v>
      </c>
      <c r="C106" s="106" t="s">
        <v>12</v>
      </c>
      <c r="D106" s="179" t="s">
        <v>16</v>
      </c>
      <c r="E106" s="181" t="n">
        <v>141252</v>
      </c>
      <c r="F106" s="181" t="n">
        <v>11771</v>
      </c>
      <c r="G106" s="181" t="n">
        <v>0</v>
      </c>
      <c r="H106" s="181" t="n">
        <v>0</v>
      </c>
      <c r="I106" s="181" t="n">
        <f aca="false">F106+G106+H106</f>
        <v>11771</v>
      </c>
      <c r="J106" s="181" t="n">
        <v>2825</v>
      </c>
      <c r="K106" s="181" t="n">
        <v>730</v>
      </c>
      <c r="L106" s="181" t="n">
        <v>171</v>
      </c>
      <c r="M106" s="181" t="n">
        <v>589</v>
      </c>
      <c r="N106" s="181" t="n">
        <f aca="false">I106-J106-K106-L106-M106</f>
        <v>7456</v>
      </c>
      <c r="O106" s="106" t="s">
        <v>556</v>
      </c>
    </row>
    <row r="107" customFormat="false" ht="15" hidden="false" customHeight="false" outlineLevel="0" collapsed="false">
      <c r="A107" s="102" t="s">
        <v>516</v>
      </c>
      <c r="B107" s="177" t="s">
        <v>517</v>
      </c>
      <c r="C107" s="102" t="s">
        <v>12</v>
      </c>
      <c r="D107" s="177" t="s">
        <v>16</v>
      </c>
      <c r="E107" s="182" t="n">
        <v>170352</v>
      </c>
      <c r="F107" s="182" t="n">
        <v>14196</v>
      </c>
      <c r="G107" s="182" t="n">
        <v>0</v>
      </c>
      <c r="H107" s="182" t="n">
        <v>0</v>
      </c>
      <c r="I107" s="182" t="n">
        <f aca="false">F107+G107+H107</f>
        <v>14196</v>
      </c>
      <c r="J107" s="182" t="n">
        <v>3407</v>
      </c>
      <c r="K107" s="182" t="n">
        <v>880</v>
      </c>
      <c r="L107" s="182" t="n">
        <v>206</v>
      </c>
      <c r="M107" s="182" t="n">
        <v>710</v>
      </c>
      <c r="N107" s="182" t="n">
        <f aca="false">I107-J107-K107-L107-M107</f>
        <v>8993</v>
      </c>
      <c r="O107" s="102" t="s">
        <v>556</v>
      </c>
    </row>
    <row r="108" customFormat="false" ht="15" hidden="false" customHeight="false" outlineLevel="0" collapsed="false">
      <c r="A108" s="106" t="s">
        <v>519</v>
      </c>
      <c r="B108" s="179" t="s">
        <v>520</v>
      </c>
      <c r="C108" s="106" t="s">
        <v>12</v>
      </c>
      <c r="D108" s="179" t="s">
        <v>16</v>
      </c>
      <c r="E108" s="181" t="n">
        <v>46832</v>
      </c>
      <c r="F108" s="181" t="n">
        <v>3903</v>
      </c>
      <c r="G108" s="181" t="n">
        <v>0</v>
      </c>
      <c r="H108" s="181" t="n">
        <v>0</v>
      </c>
      <c r="I108" s="181" t="n">
        <f aca="false">F108+G108+H108</f>
        <v>3903</v>
      </c>
      <c r="J108" s="181" t="n">
        <v>468</v>
      </c>
      <c r="K108" s="181" t="n">
        <v>242</v>
      </c>
      <c r="L108" s="181" t="n">
        <v>57</v>
      </c>
      <c r="M108" s="181" t="n">
        <v>195</v>
      </c>
      <c r="N108" s="181" t="n">
        <f aca="false">I108-J108-K108-L108-M108</f>
        <v>2941</v>
      </c>
      <c r="O108" s="106" t="s">
        <v>556</v>
      </c>
    </row>
    <row r="109" customFormat="false" ht="15" hidden="false" customHeight="false" outlineLevel="0" collapsed="false">
      <c r="A109" s="102" t="s">
        <v>96</v>
      </c>
      <c r="B109" s="177" t="s">
        <v>97</v>
      </c>
      <c r="C109" s="102" t="s">
        <v>12</v>
      </c>
      <c r="D109" s="177" t="s">
        <v>20</v>
      </c>
      <c r="E109" s="182" t="n">
        <v>90010</v>
      </c>
      <c r="F109" s="182" t="n">
        <v>7501</v>
      </c>
      <c r="G109" s="182" t="n">
        <v>0</v>
      </c>
      <c r="H109" s="182" t="n">
        <v>0</v>
      </c>
      <c r="I109" s="182" t="n">
        <f aca="false">F109+G109+H109</f>
        <v>7501</v>
      </c>
      <c r="J109" s="182" t="n">
        <v>1650</v>
      </c>
      <c r="K109" s="182" t="n">
        <v>465</v>
      </c>
      <c r="L109" s="182" t="n">
        <v>109</v>
      </c>
      <c r="M109" s="182" t="n">
        <v>375</v>
      </c>
      <c r="N109" s="182" t="n">
        <f aca="false">I109-J109-K109-L109-M109</f>
        <v>4902</v>
      </c>
      <c r="O109" s="102" t="s">
        <v>556</v>
      </c>
    </row>
    <row r="110" customFormat="false" ht="15" hidden="false" customHeight="false" outlineLevel="0" collapsed="false">
      <c r="A110" s="106" t="s">
        <v>521</v>
      </c>
      <c r="B110" s="179" t="s">
        <v>522</v>
      </c>
      <c r="C110" s="106" t="s">
        <v>12</v>
      </c>
      <c r="D110" s="179" t="s">
        <v>20</v>
      </c>
      <c r="E110" s="181" t="n">
        <v>77103</v>
      </c>
      <c r="F110" s="181" t="n">
        <v>6425</v>
      </c>
      <c r="G110" s="181" t="n">
        <v>0</v>
      </c>
      <c r="H110" s="181" t="n">
        <v>0</v>
      </c>
      <c r="I110" s="181" t="n">
        <f aca="false">F110+G110+H110</f>
        <v>6425</v>
      </c>
      <c r="J110" s="181" t="n">
        <v>1414</v>
      </c>
      <c r="K110" s="181" t="n">
        <v>398</v>
      </c>
      <c r="L110" s="181" t="n">
        <v>93</v>
      </c>
      <c r="M110" s="181" t="n">
        <v>321</v>
      </c>
      <c r="N110" s="181" t="n">
        <f aca="false">I110-J110-K110-L110-M110</f>
        <v>4199</v>
      </c>
      <c r="O110" s="106" t="s">
        <v>556</v>
      </c>
    </row>
    <row r="111" customFormat="false" ht="15" hidden="false" customHeight="false" outlineLevel="0" collapsed="false">
      <c r="A111" s="102" t="s">
        <v>523</v>
      </c>
      <c r="B111" s="177" t="s">
        <v>524</v>
      </c>
      <c r="C111" s="102" t="s">
        <v>12</v>
      </c>
      <c r="D111" s="177" t="s">
        <v>20</v>
      </c>
      <c r="E111" s="182" t="n">
        <v>95673</v>
      </c>
      <c r="F111" s="182" t="n">
        <v>7973</v>
      </c>
      <c r="G111" s="182" t="n">
        <v>0</v>
      </c>
      <c r="H111" s="182" t="n">
        <v>0</v>
      </c>
      <c r="I111" s="182" t="n">
        <f aca="false">F111+G111+H111</f>
        <v>7973</v>
      </c>
      <c r="J111" s="182" t="n">
        <v>1754</v>
      </c>
      <c r="K111" s="182" t="n">
        <v>494</v>
      </c>
      <c r="L111" s="182" t="n">
        <v>116</v>
      </c>
      <c r="M111" s="182" t="n">
        <v>399</v>
      </c>
      <c r="N111" s="182" t="n">
        <f aca="false">I111-J111-K111-L111-M111</f>
        <v>5210</v>
      </c>
      <c r="O111" s="102" t="s">
        <v>556</v>
      </c>
    </row>
    <row r="112" customFormat="false" ht="15" hidden="false" customHeight="false" outlineLevel="0" collapsed="false">
      <c r="A112" s="106" t="s">
        <v>156</v>
      </c>
      <c r="B112" s="179" t="s">
        <v>157</v>
      </c>
      <c r="C112" s="106" t="s">
        <v>12</v>
      </c>
      <c r="D112" s="179" t="s">
        <v>20</v>
      </c>
      <c r="E112" s="181" t="n">
        <v>58145</v>
      </c>
      <c r="F112" s="181" t="n">
        <v>4845</v>
      </c>
      <c r="G112" s="181" t="n">
        <v>0</v>
      </c>
      <c r="H112" s="181" t="n">
        <v>0</v>
      </c>
      <c r="I112" s="181" t="n">
        <f aca="false">F112+G112+H112</f>
        <v>4845</v>
      </c>
      <c r="J112" s="181" t="n">
        <v>1066</v>
      </c>
      <c r="K112" s="181" t="n">
        <v>300</v>
      </c>
      <c r="L112" s="181" t="n">
        <v>70</v>
      </c>
      <c r="M112" s="181" t="n">
        <v>242</v>
      </c>
      <c r="N112" s="181" t="n">
        <f aca="false">I112-J112-K112-L112-M112</f>
        <v>3167</v>
      </c>
      <c r="O112" s="106" t="s">
        <v>556</v>
      </c>
    </row>
    <row r="113" customFormat="false" ht="15" hidden="false" customHeight="false" outlineLevel="0" collapsed="false">
      <c r="A113" s="102" t="s">
        <v>525</v>
      </c>
      <c r="B113" s="177" t="s">
        <v>526</v>
      </c>
      <c r="C113" s="102" t="s">
        <v>12</v>
      </c>
      <c r="D113" s="177" t="s">
        <v>21</v>
      </c>
      <c r="E113" s="182" t="n">
        <v>92546</v>
      </c>
      <c r="F113" s="182" t="n">
        <v>7712</v>
      </c>
      <c r="G113" s="182" t="n">
        <v>0</v>
      </c>
      <c r="H113" s="182" t="n">
        <v>0</v>
      </c>
      <c r="I113" s="182" t="n">
        <f aca="false">F113+G113+H113</f>
        <v>7712</v>
      </c>
      <c r="J113" s="182" t="n">
        <v>1697</v>
      </c>
      <c r="K113" s="182" t="n">
        <v>478</v>
      </c>
      <c r="L113" s="182" t="n">
        <v>112</v>
      </c>
      <c r="M113" s="182" t="n">
        <v>386</v>
      </c>
      <c r="N113" s="182" t="n">
        <f aca="false">I113-J113-K113-L113-M113</f>
        <v>5039</v>
      </c>
      <c r="O113" s="102" t="s">
        <v>556</v>
      </c>
    </row>
    <row r="114" customFormat="false" ht="15" hidden="false" customHeight="false" outlineLevel="0" collapsed="false">
      <c r="A114" s="106" t="s">
        <v>527</v>
      </c>
      <c r="B114" s="179" t="s">
        <v>528</v>
      </c>
      <c r="C114" s="106" t="s">
        <v>12</v>
      </c>
      <c r="D114" s="179" t="s">
        <v>21</v>
      </c>
      <c r="E114" s="181" t="n">
        <v>79337</v>
      </c>
      <c r="F114" s="181" t="n">
        <v>6611</v>
      </c>
      <c r="G114" s="181" t="n">
        <v>0</v>
      </c>
      <c r="H114" s="181" t="n">
        <v>0</v>
      </c>
      <c r="I114" s="181" t="n">
        <f aca="false">F114+G114+H114</f>
        <v>6611</v>
      </c>
      <c r="J114" s="181" t="n">
        <v>1454</v>
      </c>
      <c r="K114" s="181" t="n">
        <v>410</v>
      </c>
      <c r="L114" s="181" t="n">
        <v>96</v>
      </c>
      <c r="M114" s="181" t="n">
        <v>331</v>
      </c>
      <c r="N114" s="181" t="n">
        <f aca="false">I114-J114-K114-L114-M114</f>
        <v>4320</v>
      </c>
      <c r="O114" s="106" t="s">
        <v>556</v>
      </c>
    </row>
    <row r="115" customFormat="false" ht="15" hidden="false" customHeight="false" outlineLevel="0" collapsed="false">
      <c r="A115" s="102" t="s">
        <v>529</v>
      </c>
      <c r="B115" s="177" t="s">
        <v>530</v>
      </c>
      <c r="C115" s="102" t="s">
        <v>12</v>
      </c>
      <c r="D115" s="177" t="s">
        <v>22</v>
      </c>
      <c r="E115" s="182" t="n">
        <v>133826</v>
      </c>
      <c r="F115" s="182" t="n">
        <v>11152</v>
      </c>
      <c r="G115" s="182" t="n">
        <v>0</v>
      </c>
      <c r="H115" s="182" t="n">
        <v>0</v>
      </c>
      <c r="I115" s="182" t="n">
        <f aca="false">F115+G115+H115</f>
        <v>11152</v>
      </c>
      <c r="J115" s="182" t="n">
        <v>2676</v>
      </c>
      <c r="K115" s="182" t="n">
        <v>691</v>
      </c>
      <c r="L115" s="182" t="n">
        <v>162</v>
      </c>
      <c r="M115" s="182" t="n">
        <v>558</v>
      </c>
      <c r="N115" s="182" t="n">
        <f aca="false">I115-J115-K115-L115-M115</f>
        <v>7065</v>
      </c>
      <c r="O115" s="102" t="s">
        <v>556</v>
      </c>
    </row>
    <row r="116" customFormat="false" ht="15" hidden="false" customHeight="false" outlineLevel="0" collapsed="false">
      <c r="A116" s="106" t="s">
        <v>531</v>
      </c>
      <c r="B116" s="179" t="s">
        <v>532</v>
      </c>
      <c r="C116" s="106" t="s">
        <v>12</v>
      </c>
      <c r="D116" s="179" t="s">
        <v>22</v>
      </c>
      <c r="E116" s="181" t="n">
        <v>157170</v>
      </c>
      <c r="F116" s="181" t="n">
        <v>13098</v>
      </c>
      <c r="G116" s="181" t="n">
        <v>0</v>
      </c>
      <c r="H116" s="181" t="n">
        <v>0</v>
      </c>
      <c r="I116" s="181" t="n">
        <f aca="false">F116+G116+H116</f>
        <v>13098</v>
      </c>
      <c r="J116" s="181" t="n">
        <v>3144</v>
      </c>
      <c r="K116" s="181" t="n">
        <v>812</v>
      </c>
      <c r="L116" s="181" t="n">
        <v>190</v>
      </c>
      <c r="M116" s="181" t="n">
        <v>655</v>
      </c>
      <c r="N116" s="181" t="n">
        <f aca="false">I116-J116-K116-L116-M116</f>
        <v>8297</v>
      </c>
      <c r="O116" s="106" t="s">
        <v>556</v>
      </c>
    </row>
    <row r="117" customFormat="false" ht="15" hidden="false" customHeight="false" outlineLevel="0" collapsed="false">
      <c r="A117" s="102" t="s">
        <v>533</v>
      </c>
      <c r="B117" s="177" t="s">
        <v>534</v>
      </c>
      <c r="C117" s="102" t="s">
        <v>12</v>
      </c>
      <c r="D117" s="177" t="s">
        <v>22</v>
      </c>
      <c r="E117" s="182" t="n">
        <v>167049</v>
      </c>
      <c r="F117" s="182" t="n">
        <v>13921</v>
      </c>
      <c r="G117" s="182" t="n">
        <v>0</v>
      </c>
      <c r="H117" s="182" t="n">
        <v>0</v>
      </c>
      <c r="I117" s="182" t="n">
        <f aca="false">F117+G117+H117</f>
        <v>13921</v>
      </c>
      <c r="J117" s="182" t="n">
        <v>3341</v>
      </c>
      <c r="K117" s="182" t="n">
        <v>863</v>
      </c>
      <c r="L117" s="182" t="n">
        <v>202</v>
      </c>
      <c r="M117" s="182" t="n">
        <v>696</v>
      </c>
      <c r="N117" s="182" t="n">
        <f aca="false">I117-J117-K117-L117-M117</f>
        <v>8819</v>
      </c>
      <c r="O117" s="102" t="s">
        <v>556</v>
      </c>
    </row>
    <row r="118" customFormat="false" ht="15" hidden="false" customHeight="false" outlineLevel="0" collapsed="false">
      <c r="A118" s="106" t="s">
        <v>535</v>
      </c>
      <c r="B118" s="179" t="s">
        <v>536</v>
      </c>
      <c r="C118" s="106" t="s">
        <v>12</v>
      </c>
      <c r="D118" s="179" t="s">
        <v>22</v>
      </c>
      <c r="E118" s="181" t="n">
        <v>140622</v>
      </c>
      <c r="F118" s="181" t="n">
        <v>11718</v>
      </c>
      <c r="G118" s="181" t="n">
        <v>0</v>
      </c>
      <c r="H118" s="181" t="n">
        <v>0</v>
      </c>
      <c r="I118" s="181" t="n">
        <f aca="false">F118+G118+H118</f>
        <v>11718</v>
      </c>
      <c r="J118" s="181" t="n">
        <v>2812</v>
      </c>
      <c r="K118" s="181" t="n">
        <v>727</v>
      </c>
      <c r="L118" s="181" t="n">
        <v>170</v>
      </c>
      <c r="M118" s="181" t="n">
        <v>586</v>
      </c>
      <c r="N118" s="181" t="n">
        <f aca="false">I118-J118-K118-L118-M118</f>
        <v>7423</v>
      </c>
      <c r="O118" s="106" t="s">
        <v>556</v>
      </c>
    </row>
    <row r="119" customFormat="false" ht="15" hidden="false" customHeight="false" outlineLevel="0" collapsed="false">
      <c r="A119" s="102" t="s">
        <v>537</v>
      </c>
      <c r="B119" s="177" t="s">
        <v>538</v>
      </c>
      <c r="C119" s="102" t="s">
        <v>12</v>
      </c>
      <c r="D119" s="177" t="s">
        <v>23</v>
      </c>
      <c r="E119" s="182" t="n">
        <v>133934</v>
      </c>
      <c r="F119" s="182" t="n">
        <v>11161</v>
      </c>
      <c r="G119" s="182" t="n">
        <v>0</v>
      </c>
      <c r="H119" s="182" t="n">
        <v>0</v>
      </c>
      <c r="I119" s="182" t="n">
        <f aca="false">F119+G119+H119</f>
        <v>11161</v>
      </c>
      <c r="J119" s="182" t="n">
        <v>2679</v>
      </c>
      <c r="K119" s="182" t="n">
        <v>692</v>
      </c>
      <c r="L119" s="182" t="n">
        <v>162</v>
      </c>
      <c r="M119" s="182" t="n">
        <v>558</v>
      </c>
      <c r="N119" s="182" t="n">
        <f aca="false">I119-J119-K119-L119-M119</f>
        <v>7070</v>
      </c>
      <c r="O119" s="102" t="s">
        <v>556</v>
      </c>
    </row>
    <row r="120" customFormat="false" ht="15" hidden="false" customHeight="false" outlineLevel="0" collapsed="false">
      <c r="A120" s="106" t="s">
        <v>539</v>
      </c>
      <c r="B120" s="179" t="s">
        <v>540</v>
      </c>
      <c r="C120" s="106" t="s">
        <v>12</v>
      </c>
      <c r="D120" s="179" t="s">
        <v>23</v>
      </c>
      <c r="E120" s="181" t="n">
        <v>162954</v>
      </c>
      <c r="F120" s="181" t="n">
        <v>13580</v>
      </c>
      <c r="G120" s="181" t="n">
        <v>0</v>
      </c>
      <c r="H120" s="181" t="n">
        <v>0</v>
      </c>
      <c r="I120" s="181" t="n">
        <f aca="false">F120+G120+H120</f>
        <v>13580</v>
      </c>
      <c r="J120" s="181" t="n">
        <v>3259</v>
      </c>
      <c r="K120" s="181" t="n">
        <v>842</v>
      </c>
      <c r="L120" s="181" t="n">
        <v>197</v>
      </c>
      <c r="M120" s="181" t="n">
        <v>679</v>
      </c>
      <c r="N120" s="181" t="n">
        <f aca="false">I120-J120-K120-L120-M120</f>
        <v>8603</v>
      </c>
      <c r="O120" s="106" t="s">
        <v>556</v>
      </c>
    </row>
    <row r="121" customFormat="false" ht="21.75" hidden="false" customHeight="true" outlineLevel="0" collapsed="false">
      <c r="A121" s="183" t="s">
        <v>26</v>
      </c>
      <c r="B121" s="183"/>
      <c r="C121" s="183"/>
      <c r="D121" s="183"/>
      <c r="E121" s="184" t="n">
        <f aca="false">SUMIFS(E5:E120,$O$5:$O$120,"INR")</f>
        <v>159587124</v>
      </c>
      <c r="F121" s="184" t="n">
        <f aca="false">SUMIFS(F5:F120,$O$5:$O$120,"INR")</f>
        <v>5319570</v>
      </c>
      <c r="G121" s="184" t="n">
        <f aca="false">SUMIFS(G5:G120,$O$5:$O$120,"INR")</f>
        <v>2659785</v>
      </c>
      <c r="H121" s="184" t="n">
        <f aca="false">SUMIFS(H5:H120,$O$5:$O$120,"INR")</f>
        <v>5319571</v>
      </c>
      <c r="I121" s="184" t="n">
        <f aca="false">SUMIFS(I5:I120,$O$5:$O$120,"INR")</f>
        <v>13298926</v>
      </c>
      <c r="J121" s="184" t="n">
        <f aca="false">SUMIFS(J5:J120,$O$5:$O$120,"INR")</f>
        <v>638350</v>
      </c>
      <c r="K121" s="184" t="n">
        <f aca="false">SUMIFS(K5:K120,$O$5:$O$120,"INR")</f>
        <v>0</v>
      </c>
      <c r="L121" s="184" t="n">
        <f aca="false">SUMIFS(L5:L120,$O$5:$O$120,"INR")</f>
        <v>16200</v>
      </c>
      <c r="M121" s="184" t="n">
        <f aca="false">SUMIFS(M5:M120,$O$5:$O$120,"INR")</f>
        <v>2152959</v>
      </c>
      <c r="N121" s="184" t="n">
        <f aca="false">SUMIFS(N5:N120,$O$5:$O$120,"INR")</f>
        <v>10491417</v>
      </c>
      <c r="O121" s="185"/>
    </row>
  </sheetData>
  <mergeCells count="3">
    <mergeCell ref="A1:O1"/>
    <mergeCell ref="A2:O2"/>
    <mergeCell ref="A121:D121"/>
  </mergeCells>
  <conditionalFormatting sqref="N5:N120">
    <cfRule type="colorScale" priority="2">
      <colorScale>
        <cfvo type="min" val="0"/>
        <cfvo type="percentile" val="50"/>
        <cfvo type="max" val="0"/>
        <color rgb="FFFECACA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M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4"/>
  </cols>
  <sheetData>
    <row r="1" customFormat="false" ht="27.75" hidden="false" customHeight="true" outlineLevel="0" collapsed="false">
      <c r="A1" s="174" t="s">
        <v>557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customFormat="false" ht="18" hidden="false" customHeight="true" outlineLevel="0" collapsed="false">
      <c r="A2" s="175" t="s">
        <v>558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4" customFormat="false" ht="31.5" hidden="false" customHeight="true" outlineLevel="0" collapsed="false">
      <c r="A4" s="176" t="s">
        <v>50</v>
      </c>
      <c r="B4" s="176" t="s">
        <v>51</v>
      </c>
      <c r="C4" s="176" t="s">
        <v>543</v>
      </c>
      <c r="D4" s="176" t="s">
        <v>52</v>
      </c>
      <c r="E4" s="176" t="s">
        <v>559</v>
      </c>
      <c r="F4" s="176" t="s">
        <v>560</v>
      </c>
      <c r="G4" s="176" t="s">
        <v>561</v>
      </c>
      <c r="H4" s="176" t="s">
        <v>562</v>
      </c>
      <c r="I4" s="176" t="s">
        <v>563</v>
      </c>
      <c r="J4" s="176" t="s">
        <v>564</v>
      </c>
      <c r="K4" s="176" t="s">
        <v>565</v>
      </c>
      <c r="L4" s="176" t="s">
        <v>566</v>
      </c>
      <c r="M4" s="176" t="s">
        <v>567</v>
      </c>
    </row>
    <row r="5" customFormat="false" ht="15" hidden="false" customHeight="false" outlineLevel="0" collapsed="false">
      <c r="A5" s="102" t="s">
        <v>291</v>
      </c>
      <c r="B5" s="177" t="s">
        <v>292</v>
      </c>
      <c r="C5" s="102" t="s">
        <v>11</v>
      </c>
      <c r="D5" s="177" t="s">
        <v>15</v>
      </c>
      <c r="E5" s="102" t="n">
        <v>12</v>
      </c>
      <c r="F5" s="102" t="n">
        <v>7</v>
      </c>
      <c r="G5" s="186" t="n">
        <f aca="false">E5-F5</f>
        <v>5</v>
      </c>
      <c r="H5" s="102" t="n">
        <v>12</v>
      </c>
      <c r="I5" s="102" t="n">
        <v>6</v>
      </c>
      <c r="J5" s="186" t="n">
        <f aca="false">H5-I5</f>
        <v>6</v>
      </c>
      <c r="K5" s="102" t="n">
        <v>18</v>
      </c>
      <c r="L5" s="102" t="n">
        <f aca="false">K5-14</f>
        <v>4</v>
      </c>
      <c r="M5" s="187" t="n">
        <v>0.903</v>
      </c>
    </row>
    <row r="6" customFormat="false" ht="15" hidden="false" customHeight="false" outlineLevel="0" collapsed="false">
      <c r="A6" s="106" t="s">
        <v>296</v>
      </c>
      <c r="B6" s="179" t="s">
        <v>297</v>
      </c>
      <c r="C6" s="106" t="s">
        <v>11</v>
      </c>
      <c r="D6" s="179" t="s">
        <v>16</v>
      </c>
      <c r="E6" s="106" t="n">
        <v>12</v>
      </c>
      <c r="F6" s="106" t="n">
        <v>3</v>
      </c>
      <c r="G6" s="188" t="n">
        <f aca="false">E6-F6</f>
        <v>9</v>
      </c>
      <c r="H6" s="106" t="n">
        <v>12</v>
      </c>
      <c r="I6" s="106" t="n">
        <v>8</v>
      </c>
      <c r="J6" s="188" t="n">
        <f aca="false">H6-I6</f>
        <v>4</v>
      </c>
      <c r="K6" s="106" t="n">
        <v>18</v>
      </c>
      <c r="L6" s="106" t="n">
        <f aca="false">K6-8</f>
        <v>10</v>
      </c>
      <c r="M6" s="189" t="n">
        <v>0.996</v>
      </c>
    </row>
    <row r="7" customFormat="false" ht="15" hidden="false" customHeight="false" outlineLevel="0" collapsed="false">
      <c r="A7" s="102" t="s">
        <v>300</v>
      </c>
      <c r="B7" s="177" t="s">
        <v>109</v>
      </c>
      <c r="C7" s="102" t="s">
        <v>11</v>
      </c>
      <c r="D7" s="177" t="s">
        <v>20</v>
      </c>
      <c r="E7" s="102" t="n">
        <v>12</v>
      </c>
      <c r="F7" s="102" t="n">
        <v>9</v>
      </c>
      <c r="G7" s="186" t="n">
        <f aca="false">E7-F7</f>
        <v>3</v>
      </c>
      <c r="H7" s="102" t="n">
        <v>12</v>
      </c>
      <c r="I7" s="102" t="n">
        <v>6</v>
      </c>
      <c r="J7" s="186" t="n">
        <f aca="false">H7-I7</f>
        <v>6</v>
      </c>
      <c r="K7" s="102" t="n">
        <v>18</v>
      </c>
      <c r="L7" s="102" t="n">
        <f aca="false">K7-11</f>
        <v>7</v>
      </c>
      <c r="M7" s="187" t="n">
        <v>0.92</v>
      </c>
    </row>
    <row r="8" customFormat="false" ht="15" hidden="false" customHeight="false" outlineLevel="0" collapsed="false">
      <c r="A8" s="106" t="s">
        <v>303</v>
      </c>
      <c r="B8" s="179" t="s">
        <v>304</v>
      </c>
      <c r="C8" s="106" t="s">
        <v>11</v>
      </c>
      <c r="D8" s="179" t="s">
        <v>21</v>
      </c>
      <c r="E8" s="106" t="n">
        <v>12</v>
      </c>
      <c r="F8" s="106" t="n">
        <v>2</v>
      </c>
      <c r="G8" s="188" t="n">
        <f aca="false">E8-F8</f>
        <v>10</v>
      </c>
      <c r="H8" s="106" t="n">
        <v>12</v>
      </c>
      <c r="I8" s="106" t="n">
        <v>8</v>
      </c>
      <c r="J8" s="188" t="n">
        <f aca="false">H8-I8</f>
        <v>4</v>
      </c>
      <c r="K8" s="106" t="n">
        <v>18</v>
      </c>
      <c r="L8" s="106" t="n">
        <f aca="false">K8-15</f>
        <v>3</v>
      </c>
      <c r="M8" s="189" t="n">
        <v>0.898</v>
      </c>
    </row>
    <row r="9" customFormat="false" ht="15" hidden="false" customHeight="false" outlineLevel="0" collapsed="false">
      <c r="A9" s="102" t="s">
        <v>307</v>
      </c>
      <c r="B9" s="177" t="s">
        <v>308</v>
      </c>
      <c r="C9" s="102" t="s">
        <v>11</v>
      </c>
      <c r="D9" s="177" t="s">
        <v>22</v>
      </c>
      <c r="E9" s="102" t="n">
        <v>12</v>
      </c>
      <c r="F9" s="102" t="n">
        <v>1</v>
      </c>
      <c r="G9" s="186" t="n">
        <f aca="false">E9-F9</f>
        <v>11</v>
      </c>
      <c r="H9" s="102" t="n">
        <v>12</v>
      </c>
      <c r="I9" s="102" t="n">
        <v>2</v>
      </c>
      <c r="J9" s="186" t="n">
        <f aca="false">H9-I9</f>
        <v>10</v>
      </c>
      <c r="K9" s="102" t="n">
        <v>18</v>
      </c>
      <c r="L9" s="102" t="n">
        <f aca="false">K9-5</f>
        <v>13</v>
      </c>
      <c r="M9" s="187" t="n">
        <v>0.984</v>
      </c>
    </row>
    <row r="10" customFormat="false" ht="15" hidden="false" customHeight="false" outlineLevel="0" collapsed="false">
      <c r="A10" s="106" t="s">
        <v>311</v>
      </c>
      <c r="B10" s="179" t="s">
        <v>312</v>
      </c>
      <c r="C10" s="106" t="s">
        <v>11</v>
      </c>
      <c r="D10" s="179" t="s">
        <v>23</v>
      </c>
      <c r="E10" s="106" t="n">
        <v>12</v>
      </c>
      <c r="F10" s="106" t="n">
        <v>1</v>
      </c>
      <c r="G10" s="188" t="n">
        <f aca="false">E10-F10</f>
        <v>11</v>
      </c>
      <c r="H10" s="106" t="n">
        <v>12</v>
      </c>
      <c r="I10" s="106" t="n">
        <v>6</v>
      </c>
      <c r="J10" s="188" t="n">
        <f aca="false">H10-I10</f>
        <v>6</v>
      </c>
      <c r="K10" s="106" t="n">
        <v>18</v>
      </c>
      <c r="L10" s="106" t="n">
        <f aca="false">K10-12</f>
        <v>6</v>
      </c>
      <c r="M10" s="189" t="n">
        <v>0.98</v>
      </c>
    </row>
    <row r="11" customFormat="false" ht="15" hidden="false" customHeight="false" outlineLevel="0" collapsed="false">
      <c r="A11" s="102" t="s">
        <v>315</v>
      </c>
      <c r="B11" s="177" t="s">
        <v>316</v>
      </c>
      <c r="C11" s="102" t="s">
        <v>11</v>
      </c>
      <c r="D11" s="177" t="s">
        <v>24</v>
      </c>
      <c r="E11" s="102" t="n">
        <v>12</v>
      </c>
      <c r="F11" s="102" t="n">
        <v>8</v>
      </c>
      <c r="G11" s="186" t="n">
        <f aca="false">E11-F11</f>
        <v>4</v>
      </c>
      <c r="H11" s="102" t="n">
        <v>12</v>
      </c>
      <c r="I11" s="102" t="n">
        <v>4</v>
      </c>
      <c r="J11" s="186" t="n">
        <f aca="false">H11-I11</f>
        <v>8</v>
      </c>
      <c r="K11" s="102" t="n">
        <v>18</v>
      </c>
      <c r="L11" s="102" t="n">
        <f aca="false">K11-0</f>
        <v>18</v>
      </c>
      <c r="M11" s="187" t="n">
        <v>0.987</v>
      </c>
    </row>
    <row r="12" customFormat="false" ht="15" hidden="false" customHeight="false" outlineLevel="0" collapsed="false">
      <c r="A12" s="106" t="s">
        <v>319</v>
      </c>
      <c r="B12" s="179" t="s">
        <v>320</v>
      </c>
      <c r="C12" s="106" t="s">
        <v>11</v>
      </c>
      <c r="D12" s="179" t="s">
        <v>25</v>
      </c>
      <c r="E12" s="106" t="n">
        <v>12</v>
      </c>
      <c r="F12" s="106" t="n">
        <v>10</v>
      </c>
      <c r="G12" s="188" t="n">
        <f aca="false">E12-F12</f>
        <v>2</v>
      </c>
      <c r="H12" s="106" t="n">
        <v>12</v>
      </c>
      <c r="I12" s="106" t="n">
        <v>8</v>
      </c>
      <c r="J12" s="188" t="n">
        <f aca="false">H12-I12</f>
        <v>4</v>
      </c>
      <c r="K12" s="106" t="n">
        <v>18</v>
      </c>
      <c r="L12" s="106" t="n">
        <f aca="false">K12-8</f>
        <v>10</v>
      </c>
      <c r="M12" s="189" t="n">
        <v>0.983</v>
      </c>
    </row>
    <row r="13" customFormat="false" ht="15" hidden="false" customHeight="false" outlineLevel="0" collapsed="false">
      <c r="A13" s="102" t="s">
        <v>323</v>
      </c>
      <c r="B13" s="177" t="s">
        <v>324</v>
      </c>
      <c r="C13" s="102" t="s">
        <v>11</v>
      </c>
      <c r="D13" s="177" t="s">
        <v>15</v>
      </c>
      <c r="E13" s="102" t="n">
        <v>12</v>
      </c>
      <c r="F13" s="102" t="n">
        <v>4</v>
      </c>
      <c r="G13" s="186" t="n">
        <f aca="false">E13-F13</f>
        <v>8</v>
      </c>
      <c r="H13" s="102" t="n">
        <v>12</v>
      </c>
      <c r="I13" s="102" t="n">
        <v>6</v>
      </c>
      <c r="J13" s="186" t="n">
        <f aca="false">H13-I13</f>
        <v>6</v>
      </c>
      <c r="K13" s="102" t="n">
        <v>18</v>
      </c>
      <c r="L13" s="102" t="n">
        <f aca="false">K13-5</f>
        <v>13</v>
      </c>
      <c r="M13" s="187" t="n">
        <v>0.95</v>
      </c>
    </row>
    <row r="14" customFormat="false" ht="15" hidden="false" customHeight="false" outlineLevel="0" collapsed="false">
      <c r="A14" s="106" t="s">
        <v>327</v>
      </c>
      <c r="B14" s="179" t="s">
        <v>328</v>
      </c>
      <c r="C14" s="106" t="s">
        <v>11</v>
      </c>
      <c r="D14" s="179" t="s">
        <v>15</v>
      </c>
      <c r="E14" s="106" t="n">
        <v>12</v>
      </c>
      <c r="F14" s="106" t="n">
        <v>4</v>
      </c>
      <c r="G14" s="188" t="n">
        <f aca="false">E14-F14</f>
        <v>8</v>
      </c>
      <c r="H14" s="106" t="n">
        <v>12</v>
      </c>
      <c r="I14" s="106" t="n">
        <v>8</v>
      </c>
      <c r="J14" s="188" t="n">
        <f aca="false">H14-I14</f>
        <v>4</v>
      </c>
      <c r="K14" s="106" t="n">
        <v>18</v>
      </c>
      <c r="L14" s="106" t="n">
        <f aca="false">K14-5</f>
        <v>13</v>
      </c>
      <c r="M14" s="189" t="n">
        <v>0.969</v>
      </c>
    </row>
    <row r="15" customFormat="false" ht="15" hidden="false" customHeight="false" outlineLevel="0" collapsed="false">
      <c r="A15" s="102" t="s">
        <v>330</v>
      </c>
      <c r="B15" s="177" t="s">
        <v>331</v>
      </c>
      <c r="C15" s="102" t="s">
        <v>11</v>
      </c>
      <c r="D15" s="177" t="s">
        <v>15</v>
      </c>
      <c r="E15" s="102" t="n">
        <v>12</v>
      </c>
      <c r="F15" s="102" t="n">
        <v>10</v>
      </c>
      <c r="G15" s="186" t="n">
        <f aca="false">E15-F15</f>
        <v>2</v>
      </c>
      <c r="H15" s="102" t="n">
        <v>12</v>
      </c>
      <c r="I15" s="102" t="n">
        <v>4</v>
      </c>
      <c r="J15" s="186" t="n">
        <f aca="false">H15-I15</f>
        <v>8</v>
      </c>
      <c r="K15" s="102" t="n">
        <v>18</v>
      </c>
      <c r="L15" s="102" t="n">
        <f aca="false">K15-6</f>
        <v>12</v>
      </c>
      <c r="M15" s="187" t="n">
        <v>0.904</v>
      </c>
    </row>
    <row r="16" customFormat="false" ht="15" hidden="false" customHeight="false" outlineLevel="0" collapsed="false">
      <c r="A16" s="106" t="s">
        <v>332</v>
      </c>
      <c r="B16" s="179" t="s">
        <v>333</v>
      </c>
      <c r="C16" s="106" t="s">
        <v>11</v>
      </c>
      <c r="D16" s="179" t="s">
        <v>16</v>
      </c>
      <c r="E16" s="106" t="n">
        <v>12</v>
      </c>
      <c r="F16" s="106" t="n">
        <v>2</v>
      </c>
      <c r="G16" s="188" t="n">
        <f aca="false">E16-F16</f>
        <v>10</v>
      </c>
      <c r="H16" s="106" t="n">
        <v>12</v>
      </c>
      <c r="I16" s="106" t="n">
        <v>8</v>
      </c>
      <c r="J16" s="188" t="n">
        <f aca="false">H16-I16</f>
        <v>4</v>
      </c>
      <c r="K16" s="106" t="n">
        <v>18</v>
      </c>
      <c r="L16" s="106" t="n">
        <f aca="false">K16-0</f>
        <v>18</v>
      </c>
      <c r="M16" s="189" t="n">
        <v>0.973</v>
      </c>
    </row>
    <row r="17" customFormat="false" ht="15" hidden="false" customHeight="false" outlineLevel="0" collapsed="false">
      <c r="A17" s="102" t="s">
        <v>335</v>
      </c>
      <c r="B17" s="177" t="s">
        <v>336</v>
      </c>
      <c r="C17" s="102" t="s">
        <v>11</v>
      </c>
      <c r="D17" s="177" t="s">
        <v>16</v>
      </c>
      <c r="E17" s="102" t="n">
        <v>12</v>
      </c>
      <c r="F17" s="102" t="n">
        <v>0</v>
      </c>
      <c r="G17" s="186" t="n">
        <f aca="false">E17-F17</f>
        <v>12</v>
      </c>
      <c r="H17" s="102" t="n">
        <v>12</v>
      </c>
      <c r="I17" s="102" t="n">
        <v>1</v>
      </c>
      <c r="J17" s="186" t="n">
        <f aca="false">H17-I17</f>
        <v>11</v>
      </c>
      <c r="K17" s="102" t="n">
        <v>18</v>
      </c>
      <c r="L17" s="102" t="n">
        <f aca="false">K17-11</f>
        <v>7</v>
      </c>
      <c r="M17" s="187" t="n">
        <v>0.922</v>
      </c>
    </row>
    <row r="18" customFormat="false" ht="15" hidden="false" customHeight="false" outlineLevel="0" collapsed="false">
      <c r="A18" s="106" t="s">
        <v>338</v>
      </c>
      <c r="B18" s="179" t="s">
        <v>339</v>
      </c>
      <c r="C18" s="106" t="s">
        <v>11</v>
      </c>
      <c r="D18" s="179" t="s">
        <v>20</v>
      </c>
      <c r="E18" s="106" t="n">
        <v>12</v>
      </c>
      <c r="F18" s="106" t="n">
        <v>3</v>
      </c>
      <c r="G18" s="188" t="n">
        <f aca="false">E18-F18</f>
        <v>9</v>
      </c>
      <c r="H18" s="106" t="n">
        <v>12</v>
      </c>
      <c r="I18" s="106" t="n">
        <v>9</v>
      </c>
      <c r="J18" s="188" t="n">
        <f aca="false">H18-I18</f>
        <v>3</v>
      </c>
      <c r="K18" s="106" t="n">
        <v>18</v>
      </c>
      <c r="L18" s="106" t="n">
        <f aca="false">K18-2</f>
        <v>16</v>
      </c>
      <c r="M18" s="189" t="n">
        <v>0.897</v>
      </c>
    </row>
    <row r="19" customFormat="false" ht="15" hidden="false" customHeight="false" outlineLevel="0" collapsed="false">
      <c r="A19" s="102" t="s">
        <v>342</v>
      </c>
      <c r="B19" s="177" t="s">
        <v>343</v>
      </c>
      <c r="C19" s="102" t="s">
        <v>11</v>
      </c>
      <c r="D19" s="177" t="s">
        <v>20</v>
      </c>
      <c r="E19" s="102" t="n">
        <v>12</v>
      </c>
      <c r="F19" s="102" t="n">
        <v>1</v>
      </c>
      <c r="G19" s="186" t="n">
        <f aca="false">E19-F19</f>
        <v>11</v>
      </c>
      <c r="H19" s="102" t="n">
        <v>12</v>
      </c>
      <c r="I19" s="102" t="n">
        <v>8</v>
      </c>
      <c r="J19" s="186" t="n">
        <f aca="false">H19-I19</f>
        <v>4</v>
      </c>
      <c r="K19" s="102" t="n">
        <v>18</v>
      </c>
      <c r="L19" s="102" t="n">
        <f aca="false">K19-4</f>
        <v>14</v>
      </c>
      <c r="M19" s="187" t="n">
        <v>0.907</v>
      </c>
    </row>
    <row r="20" customFormat="false" ht="15" hidden="false" customHeight="false" outlineLevel="0" collapsed="false">
      <c r="A20" s="106" t="s">
        <v>344</v>
      </c>
      <c r="B20" s="179" t="s">
        <v>345</v>
      </c>
      <c r="C20" s="106" t="s">
        <v>11</v>
      </c>
      <c r="D20" s="179" t="s">
        <v>20</v>
      </c>
      <c r="E20" s="106" t="n">
        <v>12</v>
      </c>
      <c r="F20" s="106" t="n">
        <v>8</v>
      </c>
      <c r="G20" s="188" t="n">
        <f aca="false">E20-F20</f>
        <v>4</v>
      </c>
      <c r="H20" s="106" t="n">
        <v>12</v>
      </c>
      <c r="I20" s="106" t="n">
        <v>2</v>
      </c>
      <c r="J20" s="188" t="n">
        <f aca="false">H20-I20</f>
        <v>10</v>
      </c>
      <c r="K20" s="106" t="n">
        <v>18</v>
      </c>
      <c r="L20" s="106" t="n">
        <f aca="false">K20-8</f>
        <v>10</v>
      </c>
      <c r="M20" s="189" t="n">
        <v>0.969</v>
      </c>
    </row>
    <row r="21" customFormat="false" ht="15" hidden="false" customHeight="false" outlineLevel="0" collapsed="false">
      <c r="A21" s="102" t="s">
        <v>347</v>
      </c>
      <c r="B21" s="177" t="s">
        <v>348</v>
      </c>
      <c r="C21" s="102" t="s">
        <v>11</v>
      </c>
      <c r="D21" s="177" t="s">
        <v>21</v>
      </c>
      <c r="E21" s="102" t="n">
        <v>12</v>
      </c>
      <c r="F21" s="102" t="n">
        <v>6</v>
      </c>
      <c r="G21" s="186" t="n">
        <f aca="false">E21-F21</f>
        <v>6</v>
      </c>
      <c r="H21" s="102" t="n">
        <v>12</v>
      </c>
      <c r="I21" s="102" t="n">
        <v>3</v>
      </c>
      <c r="J21" s="186" t="n">
        <f aca="false">H21-I21</f>
        <v>9</v>
      </c>
      <c r="K21" s="102" t="n">
        <v>18</v>
      </c>
      <c r="L21" s="102" t="n">
        <f aca="false">K21-6</f>
        <v>12</v>
      </c>
      <c r="M21" s="187" t="n">
        <v>0.993</v>
      </c>
    </row>
    <row r="22" customFormat="false" ht="15" hidden="false" customHeight="false" outlineLevel="0" collapsed="false">
      <c r="A22" s="106" t="s">
        <v>351</v>
      </c>
      <c r="B22" s="179" t="s">
        <v>352</v>
      </c>
      <c r="C22" s="106" t="s">
        <v>11</v>
      </c>
      <c r="D22" s="179" t="s">
        <v>21</v>
      </c>
      <c r="E22" s="106" t="n">
        <v>12</v>
      </c>
      <c r="F22" s="106" t="n">
        <v>10</v>
      </c>
      <c r="G22" s="188" t="n">
        <f aca="false">E22-F22</f>
        <v>2</v>
      </c>
      <c r="H22" s="106" t="n">
        <v>12</v>
      </c>
      <c r="I22" s="106" t="n">
        <v>10</v>
      </c>
      <c r="J22" s="188" t="n">
        <f aca="false">H22-I22</f>
        <v>2</v>
      </c>
      <c r="K22" s="106" t="n">
        <v>18</v>
      </c>
      <c r="L22" s="106" t="n">
        <f aca="false">K22-11</f>
        <v>7</v>
      </c>
      <c r="M22" s="189" t="n">
        <v>0.959</v>
      </c>
    </row>
    <row r="23" customFormat="false" ht="15" hidden="false" customHeight="false" outlineLevel="0" collapsed="false">
      <c r="A23" s="102" t="s">
        <v>353</v>
      </c>
      <c r="B23" s="177" t="s">
        <v>164</v>
      </c>
      <c r="C23" s="102" t="s">
        <v>11</v>
      </c>
      <c r="D23" s="177" t="s">
        <v>21</v>
      </c>
      <c r="E23" s="102" t="n">
        <v>12</v>
      </c>
      <c r="F23" s="102" t="n">
        <v>7</v>
      </c>
      <c r="G23" s="186" t="n">
        <f aca="false">E23-F23</f>
        <v>5</v>
      </c>
      <c r="H23" s="102" t="n">
        <v>12</v>
      </c>
      <c r="I23" s="102" t="n">
        <v>1</v>
      </c>
      <c r="J23" s="186" t="n">
        <f aca="false">H23-I23</f>
        <v>11</v>
      </c>
      <c r="K23" s="102" t="n">
        <v>18</v>
      </c>
      <c r="L23" s="102" t="n">
        <f aca="false">K23-7</f>
        <v>11</v>
      </c>
      <c r="M23" s="187" t="n">
        <v>0.911</v>
      </c>
    </row>
    <row r="24" customFormat="false" ht="15" hidden="false" customHeight="false" outlineLevel="0" collapsed="false">
      <c r="A24" s="106" t="s">
        <v>355</v>
      </c>
      <c r="B24" s="179" t="s">
        <v>356</v>
      </c>
      <c r="C24" s="106" t="s">
        <v>11</v>
      </c>
      <c r="D24" s="179" t="s">
        <v>22</v>
      </c>
      <c r="E24" s="106" t="n">
        <v>12</v>
      </c>
      <c r="F24" s="106" t="n">
        <v>0</v>
      </c>
      <c r="G24" s="188" t="n">
        <f aca="false">E24-F24</f>
        <v>12</v>
      </c>
      <c r="H24" s="106" t="n">
        <v>12</v>
      </c>
      <c r="I24" s="106" t="n">
        <v>9</v>
      </c>
      <c r="J24" s="188" t="n">
        <f aca="false">H24-I24</f>
        <v>3</v>
      </c>
      <c r="K24" s="106" t="n">
        <v>18</v>
      </c>
      <c r="L24" s="106" t="n">
        <f aca="false">K24-7</f>
        <v>11</v>
      </c>
      <c r="M24" s="189" t="n">
        <v>0.972</v>
      </c>
    </row>
    <row r="25" customFormat="false" ht="15" hidden="false" customHeight="false" outlineLevel="0" collapsed="false">
      <c r="A25" s="102" t="s">
        <v>358</v>
      </c>
      <c r="B25" s="177" t="s">
        <v>79</v>
      </c>
      <c r="C25" s="102" t="s">
        <v>11</v>
      </c>
      <c r="D25" s="177" t="s">
        <v>22</v>
      </c>
      <c r="E25" s="102" t="n">
        <v>12</v>
      </c>
      <c r="F25" s="102" t="n">
        <v>1</v>
      </c>
      <c r="G25" s="186" t="n">
        <f aca="false">E25-F25</f>
        <v>11</v>
      </c>
      <c r="H25" s="102" t="n">
        <v>12</v>
      </c>
      <c r="I25" s="102" t="n">
        <v>10</v>
      </c>
      <c r="J25" s="186" t="n">
        <f aca="false">H25-I25</f>
        <v>2</v>
      </c>
      <c r="K25" s="102" t="n">
        <v>18</v>
      </c>
      <c r="L25" s="102" t="n">
        <f aca="false">K25-1</f>
        <v>17</v>
      </c>
      <c r="M25" s="187" t="n">
        <v>0.911</v>
      </c>
    </row>
    <row r="26" customFormat="false" ht="15" hidden="false" customHeight="false" outlineLevel="0" collapsed="false">
      <c r="A26" s="106" t="s">
        <v>360</v>
      </c>
      <c r="B26" s="179" t="s">
        <v>361</v>
      </c>
      <c r="C26" s="106" t="s">
        <v>11</v>
      </c>
      <c r="D26" s="179" t="s">
        <v>22</v>
      </c>
      <c r="E26" s="106" t="n">
        <v>12</v>
      </c>
      <c r="F26" s="106" t="n">
        <v>0</v>
      </c>
      <c r="G26" s="188" t="n">
        <f aca="false">E26-F26</f>
        <v>12</v>
      </c>
      <c r="H26" s="106" t="n">
        <v>12</v>
      </c>
      <c r="I26" s="106" t="n">
        <v>5</v>
      </c>
      <c r="J26" s="188" t="n">
        <f aca="false">H26-I26</f>
        <v>7</v>
      </c>
      <c r="K26" s="106" t="n">
        <v>18</v>
      </c>
      <c r="L26" s="106" t="n">
        <f aca="false">K26-2</f>
        <v>16</v>
      </c>
      <c r="M26" s="189" t="n">
        <v>0.962</v>
      </c>
    </row>
    <row r="27" customFormat="false" ht="15" hidden="false" customHeight="false" outlineLevel="0" collapsed="false">
      <c r="A27" s="102" t="s">
        <v>363</v>
      </c>
      <c r="B27" s="177" t="s">
        <v>364</v>
      </c>
      <c r="C27" s="102" t="s">
        <v>11</v>
      </c>
      <c r="D27" s="177" t="s">
        <v>23</v>
      </c>
      <c r="E27" s="102" t="n">
        <v>12</v>
      </c>
      <c r="F27" s="102" t="n">
        <v>10</v>
      </c>
      <c r="G27" s="186" t="n">
        <f aca="false">E27-F27</f>
        <v>2</v>
      </c>
      <c r="H27" s="102" t="n">
        <v>12</v>
      </c>
      <c r="I27" s="102" t="n">
        <v>7</v>
      </c>
      <c r="J27" s="186" t="n">
        <f aca="false">H27-I27</f>
        <v>5</v>
      </c>
      <c r="K27" s="102" t="n">
        <v>18</v>
      </c>
      <c r="L27" s="102" t="n">
        <f aca="false">K27-6</f>
        <v>12</v>
      </c>
      <c r="M27" s="187" t="n">
        <v>0.961</v>
      </c>
    </row>
    <row r="28" customFormat="false" ht="15" hidden="false" customHeight="false" outlineLevel="0" collapsed="false">
      <c r="A28" s="106" t="s">
        <v>367</v>
      </c>
      <c r="B28" s="179" t="s">
        <v>119</v>
      </c>
      <c r="C28" s="106" t="s">
        <v>11</v>
      </c>
      <c r="D28" s="179" t="s">
        <v>23</v>
      </c>
      <c r="E28" s="106" t="n">
        <v>12</v>
      </c>
      <c r="F28" s="106" t="n">
        <v>9</v>
      </c>
      <c r="G28" s="188" t="n">
        <f aca="false">E28-F28</f>
        <v>3</v>
      </c>
      <c r="H28" s="106" t="n">
        <v>12</v>
      </c>
      <c r="I28" s="106" t="n">
        <v>9</v>
      </c>
      <c r="J28" s="188" t="n">
        <f aca="false">H28-I28</f>
        <v>3</v>
      </c>
      <c r="K28" s="106" t="n">
        <v>18</v>
      </c>
      <c r="L28" s="106" t="n">
        <f aca="false">K28-15</f>
        <v>3</v>
      </c>
      <c r="M28" s="189" t="n">
        <v>0.918</v>
      </c>
    </row>
    <row r="29" customFormat="false" ht="15" hidden="false" customHeight="false" outlineLevel="0" collapsed="false">
      <c r="A29" s="102" t="s">
        <v>369</v>
      </c>
      <c r="B29" s="177" t="s">
        <v>370</v>
      </c>
      <c r="C29" s="102" t="s">
        <v>11</v>
      </c>
      <c r="D29" s="177" t="s">
        <v>24</v>
      </c>
      <c r="E29" s="102" t="n">
        <v>12</v>
      </c>
      <c r="F29" s="102" t="n">
        <v>6</v>
      </c>
      <c r="G29" s="186" t="n">
        <f aca="false">E29-F29</f>
        <v>6</v>
      </c>
      <c r="H29" s="102" t="n">
        <v>12</v>
      </c>
      <c r="I29" s="102" t="n">
        <v>3</v>
      </c>
      <c r="J29" s="186" t="n">
        <f aca="false">H29-I29</f>
        <v>9</v>
      </c>
      <c r="K29" s="102" t="n">
        <v>18</v>
      </c>
      <c r="L29" s="102" t="n">
        <f aca="false">K29-3</f>
        <v>15</v>
      </c>
      <c r="M29" s="187" t="n">
        <v>0.897</v>
      </c>
    </row>
    <row r="30" customFormat="false" ht="15" hidden="false" customHeight="false" outlineLevel="0" collapsed="false">
      <c r="A30" s="106" t="s">
        <v>372</v>
      </c>
      <c r="B30" s="179" t="s">
        <v>373</v>
      </c>
      <c r="C30" s="106" t="s">
        <v>11</v>
      </c>
      <c r="D30" s="179" t="s">
        <v>24</v>
      </c>
      <c r="E30" s="106" t="n">
        <v>12</v>
      </c>
      <c r="F30" s="106" t="n">
        <v>5</v>
      </c>
      <c r="G30" s="188" t="n">
        <f aca="false">E30-F30</f>
        <v>7</v>
      </c>
      <c r="H30" s="106" t="n">
        <v>12</v>
      </c>
      <c r="I30" s="106" t="n">
        <v>6</v>
      </c>
      <c r="J30" s="188" t="n">
        <f aca="false">H30-I30</f>
        <v>6</v>
      </c>
      <c r="K30" s="106" t="n">
        <v>18</v>
      </c>
      <c r="L30" s="106" t="n">
        <f aca="false">K30-13</f>
        <v>5</v>
      </c>
      <c r="M30" s="189" t="n">
        <v>0.959</v>
      </c>
    </row>
    <row r="31" customFormat="false" ht="15" hidden="false" customHeight="false" outlineLevel="0" collapsed="false">
      <c r="A31" s="102" t="s">
        <v>375</v>
      </c>
      <c r="B31" s="177" t="s">
        <v>297</v>
      </c>
      <c r="C31" s="102" t="s">
        <v>11</v>
      </c>
      <c r="D31" s="177" t="s">
        <v>24</v>
      </c>
      <c r="E31" s="102" t="n">
        <v>12</v>
      </c>
      <c r="F31" s="102" t="n">
        <v>0</v>
      </c>
      <c r="G31" s="186" t="n">
        <f aca="false">E31-F31</f>
        <v>12</v>
      </c>
      <c r="H31" s="102" t="n">
        <v>12</v>
      </c>
      <c r="I31" s="102" t="n">
        <v>10</v>
      </c>
      <c r="J31" s="186" t="n">
        <f aca="false">H31-I31</f>
        <v>2</v>
      </c>
      <c r="K31" s="102" t="n">
        <v>18</v>
      </c>
      <c r="L31" s="102" t="n">
        <f aca="false">K31-3</f>
        <v>15</v>
      </c>
      <c r="M31" s="187" t="n">
        <v>0.884</v>
      </c>
    </row>
    <row r="32" customFormat="false" ht="15" hidden="false" customHeight="false" outlineLevel="0" collapsed="false">
      <c r="A32" s="106" t="s">
        <v>376</v>
      </c>
      <c r="B32" s="179" t="s">
        <v>377</v>
      </c>
      <c r="C32" s="106" t="s">
        <v>11</v>
      </c>
      <c r="D32" s="179" t="s">
        <v>25</v>
      </c>
      <c r="E32" s="106" t="n">
        <v>12</v>
      </c>
      <c r="F32" s="106" t="n">
        <v>5</v>
      </c>
      <c r="G32" s="188" t="n">
        <f aca="false">E32-F32</f>
        <v>7</v>
      </c>
      <c r="H32" s="106" t="n">
        <v>12</v>
      </c>
      <c r="I32" s="106" t="n">
        <v>1</v>
      </c>
      <c r="J32" s="188" t="n">
        <f aca="false">H32-I32</f>
        <v>11</v>
      </c>
      <c r="K32" s="106" t="n">
        <v>18</v>
      </c>
      <c r="L32" s="106" t="n">
        <f aca="false">K32-7</f>
        <v>11</v>
      </c>
      <c r="M32" s="189" t="n">
        <v>0.912</v>
      </c>
    </row>
    <row r="33" customFormat="false" ht="15" hidden="false" customHeight="false" outlineLevel="0" collapsed="false">
      <c r="A33" s="102" t="s">
        <v>379</v>
      </c>
      <c r="B33" s="177" t="s">
        <v>380</v>
      </c>
      <c r="C33" s="102" t="s">
        <v>11</v>
      </c>
      <c r="D33" s="177" t="s">
        <v>25</v>
      </c>
      <c r="E33" s="102" t="n">
        <v>12</v>
      </c>
      <c r="F33" s="102" t="n">
        <v>7</v>
      </c>
      <c r="G33" s="186" t="n">
        <f aca="false">E33-F33</f>
        <v>5</v>
      </c>
      <c r="H33" s="102" t="n">
        <v>12</v>
      </c>
      <c r="I33" s="102" t="n">
        <v>2</v>
      </c>
      <c r="J33" s="186" t="n">
        <f aca="false">H33-I33</f>
        <v>10</v>
      </c>
      <c r="K33" s="102" t="n">
        <v>18</v>
      </c>
      <c r="L33" s="102" t="n">
        <f aca="false">K33-13</f>
        <v>5</v>
      </c>
      <c r="M33" s="187" t="n">
        <v>0.903</v>
      </c>
    </row>
    <row r="34" customFormat="false" ht="15" hidden="false" customHeight="false" outlineLevel="0" collapsed="false">
      <c r="A34" s="106" t="s">
        <v>382</v>
      </c>
      <c r="B34" s="179" t="s">
        <v>383</v>
      </c>
      <c r="C34" s="106" t="s">
        <v>11</v>
      </c>
      <c r="D34" s="179" t="s">
        <v>15</v>
      </c>
      <c r="E34" s="106" t="n">
        <v>12</v>
      </c>
      <c r="F34" s="106" t="n">
        <v>3</v>
      </c>
      <c r="G34" s="188" t="n">
        <f aca="false">E34-F34</f>
        <v>9</v>
      </c>
      <c r="H34" s="106" t="n">
        <v>12</v>
      </c>
      <c r="I34" s="106" t="n">
        <v>1</v>
      </c>
      <c r="J34" s="188" t="n">
        <f aca="false">H34-I34</f>
        <v>11</v>
      </c>
      <c r="K34" s="106" t="n">
        <v>18</v>
      </c>
      <c r="L34" s="106" t="n">
        <f aca="false">K34-14</f>
        <v>4</v>
      </c>
      <c r="M34" s="189" t="n">
        <v>0.961</v>
      </c>
    </row>
    <row r="35" customFormat="false" ht="15" hidden="false" customHeight="false" outlineLevel="0" collapsed="false">
      <c r="A35" s="102" t="s">
        <v>161</v>
      </c>
      <c r="B35" s="177" t="s">
        <v>162</v>
      </c>
      <c r="C35" s="102" t="s">
        <v>11</v>
      </c>
      <c r="D35" s="177" t="s">
        <v>15</v>
      </c>
      <c r="E35" s="102" t="n">
        <v>12</v>
      </c>
      <c r="F35" s="102" t="n">
        <v>10</v>
      </c>
      <c r="G35" s="186" t="n">
        <f aca="false">E35-F35</f>
        <v>2</v>
      </c>
      <c r="H35" s="102" t="n">
        <v>12</v>
      </c>
      <c r="I35" s="102" t="n">
        <v>8</v>
      </c>
      <c r="J35" s="186" t="n">
        <f aca="false">H35-I35</f>
        <v>4</v>
      </c>
      <c r="K35" s="102" t="n">
        <v>18</v>
      </c>
      <c r="L35" s="102" t="n">
        <f aca="false">K35-0</f>
        <v>18</v>
      </c>
      <c r="M35" s="187" t="n">
        <v>0.899</v>
      </c>
    </row>
    <row r="36" customFormat="false" ht="15" hidden="false" customHeight="false" outlineLevel="0" collapsed="false">
      <c r="A36" s="106" t="s">
        <v>388</v>
      </c>
      <c r="B36" s="179" t="s">
        <v>389</v>
      </c>
      <c r="C36" s="106" t="s">
        <v>11</v>
      </c>
      <c r="D36" s="179" t="s">
        <v>15</v>
      </c>
      <c r="E36" s="106" t="n">
        <v>12</v>
      </c>
      <c r="F36" s="106" t="n">
        <v>3</v>
      </c>
      <c r="G36" s="188" t="n">
        <f aca="false">E36-F36</f>
        <v>9</v>
      </c>
      <c r="H36" s="106" t="n">
        <v>12</v>
      </c>
      <c r="I36" s="106" t="n">
        <v>2</v>
      </c>
      <c r="J36" s="188" t="n">
        <f aca="false">H36-I36</f>
        <v>10</v>
      </c>
      <c r="K36" s="106" t="n">
        <v>18</v>
      </c>
      <c r="L36" s="106" t="n">
        <f aca="false">K36-13</f>
        <v>5</v>
      </c>
      <c r="M36" s="189" t="n">
        <v>0.955</v>
      </c>
    </row>
    <row r="37" customFormat="false" ht="15" hidden="false" customHeight="false" outlineLevel="0" collapsed="false">
      <c r="A37" s="102" t="s">
        <v>390</v>
      </c>
      <c r="B37" s="177" t="s">
        <v>391</v>
      </c>
      <c r="C37" s="102" t="s">
        <v>11</v>
      </c>
      <c r="D37" s="177" t="s">
        <v>15</v>
      </c>
      <c r="E37" s="102" t="n">
        <v>12</v>
      </c>
      <c r="F37" s="102" t="n">
        <v>6</v>
      </c>
      <c r="G37" s="186" t="n">
        <f aca="false">E37-F37</f>
        <v>6</v>
      </c>
      <c r="H37" s="102" t="n">
        <v>12</v>
      </c>
      <c r="I37" s="102" t="n">
        <v>0</v>
      </c>
      <c r="J37" s="186" t="n">
        <f aca="false">H37-I37</f>
        <v>12</v>
      </c>
      <c r="K37" s="102" t="n">
        <v>18</v>
      </c>
      <c r="L37" s="102" t="n">
        <f aca="false">K37-5</f>
        <v>13</v>
      </c>
      <c r="M37" s="187" t="n">
        <v>0.94</v>
      </c>
    </row>
    <row r="38" customFormat="false" ht="15" hidden="false" customHeight="false" outlineLevel="0" collapsed="false">
      <c r="A38" s="106" t="s">
        <v>163</v>
      </c>
      <c r="B38" s="179" t="s">
        <v>164</v>
      </c>
      <c r="C38" s="106" t="s">
        <v>11</v>
      </c>
      <c r="D38" s="179" t="s">
        <v>15</v>
      </c>
      <c r="E38" s="106" t="n">
        <v>12</v>
      </c>
      <c r="F38" s="106" t="n">
        <v>6</v>
      </c>
      <c r="G38" s="188" t="n">
        <f aca="false">E38-F38</f>
        <v>6</v>
      </c>
      <c r="H38" s="106" t="n">
        <v>12</v>
      </c>
      <c r="I38" s="106" t="n">
        <v>4</v>
      </c>
      <c r="J38" s="188" t="n">
        <f aca="false">H38-I38</f>
        <v>8</v>
      </c>
      <c r="K38" s="106" t="n">
        <v>18</v>
      </c>
      <c r="L38" s="106" t="n">
        <f aca="false">K38-14</f>
        <v>4</v>
      </c>
      <c r="M38" s="189" t="n">
        <v>0.924</v>
      </c>
    </row>
    <row r="39" customFormat="false" ht="15" hidden="false" customHeight="false" outlineLevel="0" collapsed="false">
      <c r="A39" s="102" t="s">
        <v>68</v>
      </c>
      <c r="B39" s="177" t="s">
        <v>69</v>
      </c>
      <c r="C39" s="102" t="s">
        <v>11</v>
      </c>
      <c r="D39" s="177" t="s">
        <v>15</v>
      </c>
      <c r="E39" s="102" t="n">
        <v>12</v>
      </c>
      <c r="F39" s="102" t="n">
        <v>8</v>
      </c>
      <c r="G39" s="186" t="n">
        <f aca="false">E39-F39</f>
        <v>4</v>
      </c>
      <c r="H39" s="102" t="n">
        <v>12</v>
      </c>
      <c r="I39" s="102" t="n">
        <v>10</v>
      </c>
      <c r="J39" s="186" t="n">
        <f aca="false">H39-I39</f>
        <v>2</v>
      </c>
      <c r="K39" s="102" t="n">
        <v>18</v>
      </c>
      <c r="L39" s="102" t="n">
        <f aca="false">K39-15</f>
        <v>3</v>
      </c>
      <c r="M39" s="187" t="n">
        <v>0.902</v>
      </c>
    </row>
    <row r="40" customFormat="false" ht="15" hidden="false" customHeight="false" outlineLevel="0" collapsed="false">
      <c r="A40" s="106" t="s">
        <v>80</v>
      </c>
      <c r="B40" s="179" t="s">
        <v>81</v>
      </c>
      <c r="C40" s="106" t="s">
        <v>11</v>
      </c>
      <c r="D40" s="179" t="s">
        <v>15</v>
      </c>
      <c r="E40" s="106" t="n">
        <v>12</v>
      </c>
      <c r="F40" s="106" t="n">
        <v>3</v>
      </c>
      <c r="G40" s="188" t="n">
        <f aca="false">E40-F40</f>
        <v>9</v>
      </c>
      <c r="H40" s="106" t="n">
        <v>12</v>
      </c>
      <c r="I40" s="106" t="n">
        <v>0</v>
      </c>
      <c r="J40" s="188" t="n">
        <f aca="false">H40-I40</f>
        <v>12</v>
      </c>
      <c r="K40" s="106" t="n">
        <v>18</v>
      </c>
      <c r="L40" s="106" t="n">
        <f aca="false">K40-1</f>
        <v>17</v>
      </c>
      <c r="M40" s="189" t="n">
        <v>0.993</v>
      </c>
    </row>
    <row r="41" customFormat="false" ht="15" hidden="false" customHeight="false" outlineLevel="0" collapsed="false">
      <c r="A41" s="102" t="s">
        <v>395</v>
      </c>
      <c r="B41" s="177" t="s">
        <v>396</v>
      </c>
      <c r="C41" s="102" t="s">
        <v>11</v>
      </c>
      <c r="D41" s="177" t="s">
        <v>16</v>
      </c>
      <c r="E41" s="102" t="n">
        <v>12</v>
      </c>
      <c r="F41" s="102" t="n">
        <v>0</v>
      </c>
      <c r="G41" s="186" t="n">
        <f aca="false">E41-F41</f>
        <v>12</v>
      </c>
      <c r="H41" s="102" t="n">
        <v>12</v>
      </c>
      <c r="I41" s="102" t="n">
        <v>9</v>
      </c>
      <c r="J41" s="186" t="n">
        <f aca="false">H41-I41</f>
        <v>3</v>
      </c>
      <c r="K41" s="102" t="n">
        <v>18</v>
      </c>
      <c r="L41" s="102" t="n">
        <f aca="false">K41-15</f>
        <v>3</v>
      </c>
      <c r="M41" s="187" t="n">
        <v>0.969</v>
      </c>
    </row>
    <row r="42" customFormat="false" ht="15" hidden="false" customHeight="false" outlineLevel="0" collapsed="false">
      <c r="A42" s="106" t="s">
        <v>84</v>
      </c>
      <c r="B42" s="179" t="s">
        <v>85</v>
      </c>
      <c r="C42" s="106" t="s">
        <v>11</v>
      </c>
      <c r="D42" s="179" t="s">
        <v>16</v>
      </c>
      <c r="E42" s="106" t="n">
        <v>12</v>
      </c>
      <c r="F42" s="106" t="n">
        <v>8</v>
      </c>
      <c r="G42" s="188" t="n">
        <f aca="false">E42-F42</f>
        <v>4</v>
      </c>
      <c r="H42" s="106" t="n">
        <v>12</v>
      </c>
      <c r="I42" s="106" t="n">
        <v>2</v>
      </c>
      <c r="J42" s="188" t="n">
        <f aca="false">H42-I42</f>
        <v>10</v>
      </c>
      <c r="K42" s="106" t="n">
        <v>18</v>
      </c>
      <c r="L42" s="106" t="n">
        <f aca="false">K42-1</f>
        <v>17</v>
      </c>
      <c r="M42" s="189" t="n">
        <v>0.961</v>
      </c>
    </row>
    <row r="43" customFormat="false" ht="15" hidden="false" customHeight="false" outlineLevel="0" collapsed="false">
      <c r="A43" s="102" t="s">
        <v>399</v>
      </c>
      <c r="B43" s="177" t="s">
        <v>400</v>
      </c>
      <c r="C43" s="102" t="s">
        <v>11</v>
      </c>
      <c r="D43" s="177" t="s">
        <v>16</v>
      </c>
      <c r="E43" s="102" t="n">
        <v>12</v>
      </c>
      <c r="F43" s="102" t="n">
        <v>2</v>
      </c>
      <c r="G43" s="186" t="n">
        <f aca="false">E43-F43</f>
        <v>10</v>
      </c>
      <c r="H43" s="102" t="n">
        <v>12</v>
      </c>
      <c r="I43" s="102" t="n">
        <v>1</v>
      </c>
      <c r="J43" s="186" t="n">
        <f aca="false">H43-I43</f>
        <v>11</v>
      </c>
      <c r="K43" s="102" t="n">
        <v>18</v>
      </c>
      <c r="L43" s="102" t="n">
        <f aca="false">K43-2</f>
        <v>16</v>
      </c>
      <c r="M43" s="187" t="n">
        <v>0.989</v>
      </c>
    </row>
    <row r="44" customFormat="false" ht="15" hidden="false" customHeight="false" outlineLevel="0" collapsed="false">
      <c r="A44" s="106" t="s">
        <v>402</v>
      </c>
      <c r="B44" s="179" t="s">
        <v>403</v>
      </c>
      <c r="C44" s="106" t="s">
        <v>11</v>
      </c>
      <c r="D44" s="179" t="s">
        <v>16</v>
      </c>
      <c r="E44" s="106" t="n">
        <v>12</v>
      </c>
      <c r="F44" s="106" t="n">
        <v>6</v>
      </c>
      <c r="G44" s="188" t="n">
        <f aca="false">E44-F44</f>
        <v>6</v>
      </c>
      <c r="H44" s="106" t="n">
        <v>12</v>
      </c>
      <c r="I44" s="106" t="n">
        <v>1</v>
      </c>
      <c r="J44" s="188" t="n">
        <f aca="false">H44-I44</f>
        <v>11</v>
      </c>
      <c r="K44" s="106" t="n">
        <v>18</v>
      </c>
      <c r="L44" s="106" t="n">
        <f aca="false">K44-7</f>
        <v>11</v>
      </c>
      <c r="M44" s="189" t="n">
        <v>0.976</v>
      </c>
    </row>
    <row r="45" customFormat="false" ht="15" hidden="false" customHeight="false" outlineLevel="0" collapsed="false">
      <c r="A45" s="102" t="s">
        <v>404</v>
      </c>
      <c r="B45" s="177" t="s">
        <v>405</v>
      </c>
      <c r="C45" s="102" t="s">
        <v>11</v>
      </c>
      <c r="D45" s="177" t="s">
        <v>16</v>
      </c>
      <c r="E45" s="102" t="n">
        <v>12</v>
      </c>
      <c r="F45" s="102" t="n">
        <v>9</v>
      </c>
      <c r="G45" s="186" t="n">
        <f aca="false">E45-F45</f>
        <v>3</v>
      </c>
      <c r="H45" s="102" t="n">
        <v>12</v>
      </c>
      <c r="I45" s="102" t="n">
        <v>1</v>
      </c>
      <c r="J45" s="186" t="n">
        <f aca="false">H45-I45</f>
        <v>11</v>
      </c>
      <c r="K45" s="102" t="n">
        <v>18</v>
      </c>
      <c r="L45" s="102" t="n">
        <f aca="false">K45-13</f>
        <v>5</v>
      </c>
      <c r="M45" s="187" t="n">
        <v>0.986</v>
      </c>
    </row>
    <row r="46" customFormat="false" ht="15" hidden="false" customHeight="false" outlineLevel="0" collapsed="false">
      <c r="A46" s="106" t="s">
        <v>72</v>
      </c>
      <c r="B46" s="179" t="s">
        <v>73</v>
      </c>
      <c r="C46" s="106" t="s">
        <v>11</v>
      </c>
      <c r="D46" s="179" t="s">
        <v>16</v>
      </c>
      <c r="E46" s="106" t="n">
        <v>12</v>
      </c>
      <c r="F46" s="106" t="n">
        <v>8</v>
      </c>
      <c r="G46" s="188" t="n">
        <f aca="false">E46-F46</f>
        <v>4</v>
      </c>
      <c r="H46" s="106" t="n">
        <v>12</v>
      </c>
      <c r="I46" s="106" t="n">
        <v>5</v>
      </c>
      <c r="J46" s="188" t="n">
        <f aca="false">H46-I46</f>
        <v>7</v>
      </c>
      <c r="K46" s="106" t="n">
        <v>18</v>
      </c>
      <c r="L46" s="106" t="n">
        <f aca="false">K46-8</f>
        <v>10</v>
      </c>
      <c r="M46" s="189" t="n">
        <v>0.917</v>
      </c>
    </row>
    <row r="47" customFormat="false" ht="15" hidden="false" customHeight="false" outlineLevel="0" collapsed="false">
      <c r="A47" s="102" t="s">
        <v>408</v>
      </c>
      <c r="B47" s="177" t="s">
        <v>409</v>
      </c>
      <c r="C47" s="102" t="s">
        <v>11</v>
      </c>
      <c r="D47" s="177" t="s">
        <v>16</v>
      </c>
      <c r="E47" s="102" t="n">
        <v>12</v>
      </c>
      <c r="F47" s="102" t="n">
        <v>5</v>
      </c>
      <c r="G47" s="186" t="n">
        <f aca="false">E47-F47</f>
        <v>7</v>
      </c>
      <c r="H47" s="102" t="n">
        <v>12</v>
      </c>
      <c r="I47" s="102" t="n">
        <v>3</v>
      </c>
      <c r="J47" s="186" t="n">
        <f aca="false">H47-I47</f>
        <v>9</v>
      </c>
      <c r="K47" s="102" t="n">
        <v>18</v>
      </c>
      <c r="L47" s="102" t="n">
        <f aca="false">K47-8</f>
        <v>10</v>
      </c>
      <c r="M47" s="187" t="n">
        <v>0.941</v>
      </c>
    </row>
    <row r="48" customFormat="false" ht="15" hidden="false" customHeight="false" outlineLevel="0" collapsed="false">
      <c r="A48" s="106" t="s">
        <v>74</v>
      </c>
      <c r="B48" s="179" t="s">
        <v>75</v>
      </c>
      <c r="C48" s="106" t="s">
        <v>11</v>
      </c>
      <c r="D48" s="179" t="s">
        <v>20</v>
      </c>
      <c r="E48" s="106" t="n">
        <v>12</v>
      </c>
      <c r="F48" s="106" t="n">
        <v>10</v>
      </c>
      <c r="G48" s="188" t="n">
        <f aca="false">E48-F48</f>
        <v>2</v>
      </c>
      <c r="H48" s="106" t="n">
        <v>12</v>
      </c>
      <c r="I48" s="106" t="n">
        <v>4</v>
      </c>
      <c r="J48" s="188" t="n">
        <f aca="false">H48-I48</f>
        <v>8</v>
      </c>
      <c r="K48" s="106" t="n">
        <v>18</v>
      </c>
      <c r="L48" s="106" t="n">
        <f aca="false">K48-14</f>
        <v>4</v>
      </c>
      <c r="M48" s="189" t="n">
        <v>0.939</v>
      </c>
    </row>
    <row r="49" customFormat="false" ht="15" hidden="false" customHeight="false" outlineLevel="0" collapsed="false">
      <c r="A49" s="102" t="s">
        <v>62</v>
      </c>
      <c r="B49" s="177" t="s">
        <v>63</v>
      </c>
      <c r="C49" s="102" t="s">
        <v>11</v>
      </c>
      <c r="D49" s="177" t="s">
        <v>20</v>
      </c>
      <c r="E49" s="102" t="n">
        <v>12</v>
      </c>
      <c r="F49" s="102" t="n">
        <v>1</v>
      </c>
      <c r="G49" s="186" t="n">
        <f aca="false">E49-F49</f>
        <v>11</v>
      </c>
      <c r="H49" s="102" t="n">
        <v>12</v>
      </c>
      <c r="I49" s="102" t="n">
        <v>0</v>
      </c>
      <c r="J49" s="186" t="n">
        <f aca="false">H49-I49</f>
        <v>12</v>
      </c>
      <c r="K49" s="102" t="n">
        <v>18</v>
      </c>
      <c r="L49" s="102" t="n">
        <f aca="false">K49-14</f>
        <v>4</v>
      </c>
      <c r="M49" s="187" t="n">
        <v>0.98</v>
      </c>
    </row>
    <row r="50" customFormat="false" ht="15" hidden="false" customHeight="false" outlineLevel="0" collapsed="false">
      <c r="A50" s="106" t="s">
        <v>411</v>
      </c>
      <c r="B50" s="179" t="s">
        <v>412</v>
      </c>
      <c r="C50" s="106" t="s">
        <v>11</v>
      </c>
      <c r="D50" s="179" t="s">
        <v>20</v>
      </c>
      <c r="E50" s="106" t="n">
        <v>12</v>
      </c>
      <c r="F50" s="106" t="n">
        <v>1</v>
      </c>
      <c r="G50" s="188" t="n">
        <f aca="false">E50-F50</f>
        <v>11</v>
      </c>
      <c r="H50" s="106" t="n">
        <v>12</v>
      </c>
      <c r="I50" s="106" t="n">
        <v>1</v>
      </c>
      <c r="J50" s="188" t="n">
        <f aca="false">H50-I50</f>
        <v>11</v>
      </c>
      <c r="K50" s="106" t="n">
        <v>18</v>
      </c>
      <c r="L50" s="106" t="n">
        <f aca="false">K50-6</f>
        <v>12</v>
      </c>
      <c r="M50" s="189" t="n">
        <v>0.963</v>
      </c>
    </row>
    <row r="51" customFormat="false" ht="15" hidden="false" customHeight="false" outlineLevel="0" collapsed="false">
      <c r="A51" s="102" t="s">
        <v>414</v>
      </c>
      <c r="B51" s="177" t="s">
        <v>415</v>
      </c>
      <c r="C51" s="102" t="s">
        <v>11</v>
      </c>
      <c r="D51" s="177" t="s">
        <v>20</v>
      </c>
      <c r="E51" s="102" t="n">
        <v>12</v>
      </c>
      <c r="F51" s="102" t="n">
        <v>5</v>
      </c>
      <c r="G51" s="186" t="n">
        <f aca="false">E51-F51</f>
        <v>7</v>
      </c>
      <c r="H51" s="102" t="n">
        <v>12</v>
      </c>
      <c r="I51" s="102" t="n">
        <v>1</v>
      </c>
      <c r="J51" s="186" t="n">
        <f aca="false">H51-I51</f>
        <v>11</v>
      </c>
      <c r="K51" s="102" t="n">
        <v>18</v>
      </c>
      <c r="L51" s="102" t="n">
        <f aca="false">K51-7</f>
        <v>11</v>
      </c>
      <c r="M51" s="187" t="n">
        <v>0.933</v>
      </c>
    </row>
    <row r="52" customFormat="false" ht="15" hidden="false" customHeight="false" outlineLevel="0" collapsed="false">
      <c r="A52" s="106" t="s">
        <v>76</v>
      </c>
      <c r="B52" s="179" t="s">
        <v>77</v>
      </c>
      <c r="C52" s="106" t="s">
        <v>11</v>
      </c>
      <c r="D52" s="179" t="s">
        <v>20</v>
      </c>
      <c r="E52" s="106" t="n">
        <v>12</v>
      </c>
      <c r="F52" s="106" t="n">
        <v>7</v>
      </c>
      <c r="G52" s="188" t="n">
        <f aca="false">E52-F52</f>
        <v>5</v>
      </c>
      <c r="H52" s="106" t="n">
        <v>12</v>
      </c>
      <c r="I52" s="106" t="n">
        <v>8</v>
      </c>
      <c r="J52" s="188" t="n">
        <f aca="false">H52-I52</f>
        <v>4</v>
      </c>
      <c r="K52" s="106" t="n">
        <v>18</v>
      </c>
      <c r="L52" s="106" t="n">
        <f aca="false">K52-9</f>
        <v>9</v>
      </c>
      <c r="M52" s="189" t="n">
        <v>0.98</v>
      </c>
    </row>
    <row r="53" customFormat="false" ht="15" hidden="false" customHeight="false" outlineLevel="0" collapsed="false">
      <c r="A53" s="102" t="s">
        <v>56</v>
      </c>
      <c r="B53" s="177" t="s">
        <v>57</v>
      </c>
      <c r="C53" s="102" t="s">
        <v>11</v>
      </c>
      <c r="D53" s="177" t="s">
        <v>20</v>
      </c>
      <c r="E53" s="102" t="n">
        <v>12</v>
      </c>
      <c r="F53" s="102" t="n">
        <v>10</v>
      </c>
      <c r="G53" s="186" t="n">
        <f aca="false">E53-F53</f>
        <v>2</v>
      </c>
      <c r="H53" s="102" t="n">
        <v>12</v>
      </c>
      <c r="I53" s="102" t="n">
        <v>8</v>
      </c>
      <c r="J53" s="186" t="n">
        <f aca="false">H53-I53</f>
        <v>4</v>
      </c>
      <c r="K53" s="102" t="n">
        <v>18</v>
      </c>
      <c r="L53" s="102" t="n">
        <f aca="false">K53-0</f>
        <v>18</v>
      </c>
      <c r="M53" s="187" t="n">
        <v>0.988</v>
      </c>
    </row>
    <row r="54" customFormat="false" ht="15" hidden="false" customHeight="false" outlineLevel="0" collapsed="false">
      <c r="A54" s="106" t="s">
        <v>78</v>
      </c>
      <c r="B54" s="179" t="s">
        <v>79</v>
      </c>
      <c r="C54" s="106" t="s">
        <v>11</v>
      </c>
      <c r="D54" s="179" t="s">
        <v>21</v>
      </c>
      <c r="E54" s="106" t="n">
        <v>12</v>
      </c>
      <c r="F54" s="106" t="n">
        <v>4</v>
      </c>
      <c r="G54" s="188" t="n">
        <f aca="false">E54-F54</f>
        <v>8</v>
      </c>
      <c r="H54" s="106" t="n">
        <v>12</v>
      </c>
      <c r="I54" s="106" t="n">
        <v>10</v>
      </c>
      <c r="J54" s="188" t="n">
        <f aca="false">H54-I54</f>
        <v>2</v>
      </c>
      <c r="K54" s="106" t="n">
        <v>18</v>
      </c>
      <c r="L54" s="106" t="n">
        <f aca="false">K54-3</f>
        <v>15</v>
      </c>
      <c r="M54" s="189" t="n">
        <v>0.903</v>
      </c>
    </row>
    <row r="55" customFormat="false" ht="15" hidden="false" customHeight="false" outlineLevel="0" collapsed="false">
      <c r="A55" s="102" t="s">
        <v>90</v>
      </c>
      <c r="B55" s="177" t="s">
        <v>91</v>
      </c>
      <c r="C55" s="102" t="s">
        <v>11</v>
      </c>
      <c r="D55" s="177" t="s">
        <v>21</v>
      </c>
      <c r="E55" s="102" t="n">
        <v>12</v>
      </c>
      <c r="F55" s="102" t="n">
        <v>1</v>
      </c>
      <c r="G55" s="186" t="n">
        <f aca="false">E55-F55</f>
        <v>11</v>
      </c>
      <c r="H55" s="102" t="n">
        <v>12</v>
      </c>
      <c r="I55" s="102" t="n">
        <v>8</v>
      </c>
      <c r="J55" s="186" t="n">
        <f aca="false">H55-I55</f>
        <v>4</v>
      </c>
      <c r="K55" s="102" t="n">
        <v>18</v>
      </c>
      <c r="L55" s="102" t="n">
        <f aca="false">K55-4</f>
        <v>14</v>
      </c>
      <c r="M55" s="187" t="n">
        <v>0.923</v>
      </c>
    </row>
    <row r="56" customFormat="false" ht="15" hidden="false" customHeight="false" outlineLevel="0" collapsed="false">
      <c r="A56" s="106" t="s">
        <v>421</v>
      </c>
      <c r="B56" s="179" t="s">
        <v>422</v>
      </c>
      <c r="C56" s="106" t="s">
        <v>11</v>
      </c>
      <c r="D56" s="179" t="s">
        <v>21</v>
      </c>
      <c r="E56" s="106" t="n">
        <v>12</v>
      </c>
      <c r="F56" s="106" t="n">
        <v>3</v>
      </c>
      <c r="G56" s="188" t="n">
        <f aca="false">E56-F56</f>
        <v>9</v>
      </c>
      <c r="H56" s="106" t="n">
        <v>12</v>
      </c>
      <c r="I56" s="106" t="n">
        <v>5</v>
      </c>
      <c r="J56" s="188" t="n">
        <f aca="false">H56-I56</f>
        <v>7</v>
      </c>
      <c r="K56" s="106" t="n">
        <v>18</v>
      </c>
      <c r="L56" s="106" t="n">
        <f aca="false">K56-6</f>
        <v>12</v>
      </c>
      <c r="M56" s="189" t="n">
        <v>0.986</v>
      </c>
    </row>
    <row r="57" customFormat="false" ht="15" hidden="false" customHeight="false" outlineLevel="0" collapsed="false">
      <c r="A57" s="102" t="s">
        <v>423</v>
      </c>
      <c r="B57" s="177" t="s">
        <v>424</v>
      </c>
      <c r="C57" s="102" t="s">
        <v>11</v>
      </c>
      <c r="D57" s="177" t="s">
        <v>21</v>
      </c>
      <c r="E57" s="102" t="n">
        <v>12</v>
      </c>
      <c r="F57" s="102" t="n">
        <v>4</v>
      </c>
      <c r="G57" s="186" t="n">
        <f aca="false">E57-F57</f>
        <v>8</v>
      </c>
      <c r="H57" s="102" t="n">
        <v>12</v>
      </c>
      <c r="I57" s="102" t="n">
        <v>8</v>
      </c>
      <c r="J57" s="186" t="n">
        <f aca="false">H57-I57</f>
        <v>4</v>
      </c>
      <c r="K57" s="102" t="n">
        <v>18</v>
      </c>
      <c r="L57" s="102" t="n">
        <f aca="false">K57-15</f>
        <v>3</v>
      </c>
      <c r="M57" s="187" t="n">
        <v>0.929</v>
      </c>
    </row>
    <row r="58" customFormat="false" ht="15" hidden="false" customHeight="false" outlineLevel="0" collapsed="false">
      <c r="A58" s="106" t="s">
        <v>425</v>
      </c>
      <c r="B58" s="179" t="s">
        <v>426</v>
      </c>
      <c r="C58" s="106" t="s">
        <v>11</v>
      </c>
      <c r="D58" s="179" t="s">
        <v>21</v>
      </c>
      <c r="E58" s="106" t="n">
        <v>12</v>
      </c>
      <c r="F58" s="106" t="n">
        <v>0</v>
      </c>
      <c r="G58" s="188" t="n">
        <f aca="false">E58-F58</f>
        <v>12</v>
      </c>
      <c r="H58" s="106" t="n">
        <v>12</v>
      </c>
      <c r="I58" s="106" t="n">
        <v>1</v>
      </c>
      <c r="J58" s="188" t="n">
        <f aca="false">H58-I58</f>
        <v>11</v>
      </c>
      <c r="K58" s="106" t="n">
        <v>18</v>
      </c>
      <c r="L58" s="106" t="n">
        <f aca="false">K58-13</f>
        <v>5</v>
      </c>
      <c r="M58" s="189" t="n">
        <v>0.92</v>
      </c>
    </row>
    <row r="59" customFormat="false" ht="15" hidden="false" customHeight="false" outlineLevel="0" collapsed="false">
      <c r="A59" s="102" t="s">
        <v>428</v>
      </c>
      <c r="B59" s="177" t="s">
        <v>132</v>
      </c>
      <c r="C59" s="102" t="s">
        <v>11</v>
      </c>
      <c r="D59" s="177" t="s">
        <v>21</v>
      </c>
      <c r="E59" s="102" t="n">
        <v>12</v>
      </c>
      <c r="F59" s="102" t="n">
        <v>5</v>
      </c>
      <c r="G59" s="186" t="n">
        <f aca="false">E59-F59</f>
        <v>7</v>
      </c>
      <c r="H59" s="102" t="n">
        <v>12</v>
      </c>
      <c r="I59" s="102" t="n">
        <v>2</v>
      </c>
      <c r="J59" s="186" t="n">
        <f aca="false">H59-I59</f>
        <v>10</v>
      </c>
      <c r="K59" s="102" t="n">
        <v>18</v>
      </c>
      <c r="L59" s="102" t="n">
        <f aca="false">K59-8</f>
        <v>10</v>
      </c>
      <c r="M59" s="187" t="n">
        <v>0.907</v>
      </c>
    </row>
    <row r="60" customFormat="false" ht="15" hidden="false" customHeight="false" outlineLevel="0" collapsed="false">
      <c r="A60" s="106" t="s">
        <v>64</v>
      </c>
      <c r="B60" s="179" t="s">
        <v>65</v>
      </c>
      <c r="C60" s="106" t="s">
        <v>11</v>
      </c>
      <c r="D60" s="179" t="s">
        <v>21</v>
      </c>
      <c r="E60" s="106" t="n">
        <v>12</v>
      </c>
      <c r="F60" s="106" t="n">
        <v>8</v>
      </c>
      <c r="G60" s="188" t="n">
        <f aca="false">E60-F60</f>
        <v>4</v>
      </c>
      <c r="H60" s="106" t="n">
        <v>12</v>
      </c>
      <c r="I60" s="106" t="n">
        <v>6</v>
      </c>
      <c r="J60" s="188" t="n">
        <f aca="false">H60-I60</f>
        <v>6</v>
      </c>
      <c r="K60" s="106" t="n">
        <v>18</v>
      </c>
      <c r="L60" s="106" t="n">
        <f aca="false">K60-0</f>
        <v>18</v>
      </c>
      <c r="M60" s="189" t="n">
        <v>0.891</v>
      </c>
    </row>
    <row r="61" customFormat="false" ht="15" hidden="false" customHeight="false" outlineLevel="0" collapsed="false">
      <c r="A61" s="102" t="s">
        <v>92</v>
      </c>
      <c r="B61" s="177" t="s">
        <v>93</v>
      </c>
      <c r="C61" s="102" t="s">
        <v>11</v>
      </c>
      <c r="D61" s="177" t="s">
        <v>22</v>
      </c>
      <c r="E61" s="102" t="n">
        <v>12</v>
      </c>
      <c r="F61" s="102" t="n">
        <v>2</v>
      </c>
      <c r="G61" s="186" t="n">
        <f aca="false">E61-F61</f>
        <v>10</v>
      </c>
      <c r="H61" s="102" t="n">
        <v>12</v>
      </c>
      <c r="I61" s="102" t="n">
        <v>8</v>
      </c>
      <c r="J61" s="186" t="n">
        <f aca="false">H61-I61</f>
        <v>4</v>
      </c>
      <c r="K61" s="102" t="n">
        <v>18</v>
      </c>
      <c r="L61" s="102" t="n">
        <f aca="false">K61-1</f>
        <v>17</v>
      </c>
      <c r="M61" s="187" t="n">
        <v>0.936</v>
      </c>
    </row>
    <row r="62" customFormat="false" ht="15" hidden="false" customHeight="false" outlineLevel="0" collapsed="false">
      <c r="A62" s="106" t="s">
        <v>70</v>
      </c>
      <c r="B62" s="179" t="s">
        <v>71</v>
      </c>
      <c r="C62" s="106" t="s">
        <v>11</v>
      </c>
      <c r="D62" s="179" t="s">
        <v>22</v>
      </c>
      <c r="E62" s="106" t="n">
        <v>12</v>
      </c>
      <c r="F62" s="106" t="n">
        <v>2</v>
      </c>
      <c r="G62" s="188" t="n">
        <f aca="false">E62-F62</f>
        <v>10</v>
      </c>
      <c r="H62" s="106" t="n">
        <v>12</v>
      </c>
      <c r="I62" s="106" t="n">
        <v>6</v>
      </c>
      <c r="J62" s="188" t="n">
        <f aca="false">H62-I62</f>
        <v>6</v>
      </c>
      <c r="K62" s="106" t="n">
        <v>18</v>
      </c>
      <c r="L62" s="106" t="n">
        <f aca="false">K62-4</f>
        <v>14</v>
      </c>
      <c r="M62" s="189" t="n">
        <v>0.883</v>
      </c>
    </row>
    <row r="63" customFormat="false" ht="15" hidden="false" customHeight="false" outlineLevel="0" collapsed="false">
      <c r="A63" s="102" t="s">
        <v>431</v>
      </c>
      <c r="B63" s="177" t="s">
        <v>432</v>
      </c>
      <c r="C63" s="102" t="s">
        <v>11</v>
      </c>
      <c r="D63" s="177" t="s">
        <v>22</v>
      </c>
      <c r="E63" s="102" t="n">
        <v>12</v>
      </c>
      <c r="F63" s="102" t="n">
        <v>0</v>
      </c>
      <c r="G63" s="186" t="n">
        <f aca="false">E63-F63</f>
        <v>12</v>
      </c>
      <c r="H63" s="102" t="n">
        <v>12</v>
      </c>
      <c r="I63" s="102" t="n">
        <v>5</v>
      </c>
      <c r="J63" s="186" t="n">
        <f aca="false">H63-I63</f>
        <v>7</v>
      </c>
      <c r="K63" s="102" t="n">
        <v>18</v>
      </c>
      <c r="L63" s="102" t="n">
        <f aca="false">K63-6</f>
        <v>12</v>
      </c>
      <c r="M63" s="187" t="n">
        <v>0.982</v>
      </c>
    </row>
    <row r="64" customFormat="false" ht="15" hidden="false" customHeight="false" outlineLevel="0" collapsed="false">
      <c r="A64" s="106" t="s">
        <v>435</v>
      </c>
      <c r="B64" s="179" t="s">
        <v>436</v>
      </c>
      <c r="C64" s="106" t="s">
        <v>11</v>
      </c>
      <c r="D64" s="179" t="s">
        <v>22</v>
      </c>
      <c r="E64" s="106" t="n">
        <v>12</v>
      </c>
      <c r="F64" s="106" t="n">
        <v>1</v>
      </c>
      <c r="G64" s="188" t="n">
        <f aca="false">E64-F64</f>
        <v>11</v>
      </c>
      <c r="H64" s="106" t="n">
        <v>12</v>
      </c>
      <c r="I64" s="106" t="n">
        <v>5</v>
      </c>
      <c r="J64" s="188" t="n">
        <f aca="false">H64-I64</f>
        <v>7</v>
      </c>
      <c r="K64" s="106" t="n">
        <v>18</v>
      </c>
      <c r="L64" s="106" t="n">
        <f aca="false">K64-13</f>
        <v>5</v>
      </c>
      <c r="M64" s="189" t="n">
        <v>0.977</v>
      </c>
    </row>
    <row r="65" customFormat="false" ht="15" hidden="false" customHeight="false" outlineLevel="0" collapsed="false">
      <c r="A65" s="102" t="s">
        <v>438</v>
      </c>
      <c r="B65" s="177" t="s">
        <v>439</v>
      </c>
      <c r="C65" s="102" t="s">
        <v>11</v>
      </c>
      <c r="D65" s="177" t="s">
        <v>22</v>
      </c>
      <c r="E65" s="102" t="n">
        <v>12</v>
      </c>
      <c r="F65" s="102" t="n">
        <v>3</v>
      </c>
      <c r="G65" s="186" t="n">
        <f aca="false">E65-F65</f>
        <v>9</v>
      </c>
      <c r="H65" s="102" t="n">
        <v>12</v>
      </c>
      <c r="I65" s="102" t="n">
        <v>2</v>
      </c>
      <c r="J65" s="186" t="n">
        <f aca="false">H65-I65</f>
        <v>10</v>
      </c>
      <c r="K65" s="102" t="n">
        <v>18</v>
      </c>
      <c r="L65" s="102" t="n">
        <f aca="false">K65-5</f>
        <v>13</v>
      </c>
      <c r="M65" s="187" t="n">
        <v>0.94</v>
      </c>
    </row>
    <row r="66" customFormat="false" ht="15" hidden="false" customHeight="false" outlineLevel="0" collapsed="false">
      <c r="A66" s="106" t="s">
        <v>60</v>
      </c>
      <c r="B66" s="179" t="s">
        <v>61</v>
      </c>
      <c r="C66" s="106" t="s">
        <v>11</v>
      </c>
      <c r="D66" s="179" t="s">
        <v>22</v>
      </c>
      <c r="E66" s="106" t="n">
        <v>12</v>
      </c>
      <c r="F66" s="106" t="n">
        <v>5</v>
      </c>
      <c r="G66" s="188" t="n">
        <f aca="false">E66-F66</f>
        <v>7</v>
      </c>
      <c r="H66" s="106" t="n">
        <v>12</v>
      </c>
      <c r="I66" s="106" t="n">
        <v>6</v>
      </c>
      <c r="J66" s="188" t="n">
        <f aca="false">H66-I66</f>
        <v>6</v>
      </c>
      <c r="K66" s="106" t="n">
        <v>18</v>
      </c>
      <c r="L66" s="106" t="n">
        <f aca="false">K66-7</f>
        <v>11</v>
      </c>
      <c r="M66" s="189" t="n">
        <v>0.922</v>
      </c>
    </row>
    <row r="67" customFormat="false" ht="15" hidden="false" customHeight="false" outlineLevel="0" collapsed="false">
      <c r="A67" s="102" t="s">
        <v>58</v>
      </c>
      <c r="B67" s="177" t="s">
        <v>59</v>
      </c>
      <c r="C67" s="102" t="s">
        <v>11</v>
      </c>
      <c r="D67" s="177" t="s">
        <v>23</v>
      </c>
      <c r="E67" s="102" t="n">
        <v>12</v>
      </c>
      <c r="F67" s="102" t="n">
        <v>1</v>
      </c>
      <c r="G67" s="186" t="n">
        <f aca="false">E67-F67</f>
        <v>11</v>
      </c>
      <c r="H67" s="102" t="n">
        <v>12</v>
      </c>
      <c r="I67" s="102" t="n">
        <v>6</v>
      </c>
      <c r="J67" s="186" t="n">
        <f aca="false">H67-I67</f>
        <v>6</v>
      </c>
      <c r="K67" s="102" t="n">
        <v>18</v>
      </c>
      <c r="L67" s="102" t="n">
        <f aca="false">K67-1</f>
        <v>17</v>
      </c>
      <c r="M67" s="187" t="n">
        <v>0.952</v>
      </c>
    </row>
    <row r="68" customFormat="false" ht="15" hidden="false" customHeight="false" outlineLevel="0" collapsed="false">
      <c r="A68" s="106" t="s">
        <v>94</v>
      </c>
      <c r="B68" s="179" t="s">
        <v>95</v>
      </c>
      <c r="C68" s="106" t="s">
        <v>11</v>
      </c>
      <c r="D68" s="179" t="s">
        <v>23</v>
      </c>
      <c r="E68" s="106" t="n">
        <v>12</v>
      </c>
      <c r="F68" s="106" t="n">
        <v>7</v>
      </c>
      <c r="G68" s="188" t="n">
        <f aca="false">E68-F68</f>
        <v>5</v>
      </c>
      <c r="H68" s="106" t="n">
        <v>12</v>
      </c>
      <c r="I68" s="106" t="n">
        <v>5</v>
      </c>
      <c r="J68" s="188" t="n">
        <f aca="false">H68-I68</f>
        <v>7</v>
      </c>
      <c r="K68" s="106" t="n">
        <v>18</v>
      </c>
      <c r="L68" s="106" t="n">
        <f aca="false">K68-9</f>
        <v>9</v>
      </c>
      <c r="M68" s="189" t="n">
        <v>0.912</v>
      </c>
    </row>
    <row r="69" customFormat="false" ht="15" hidden="false" customHeight="false" outlineLevel="0" collapsed="false">
      <c r="A69" s="102" t="s">
        <v>444</v>
      </c>
      <c r="B69" s="177" t="s">
        <v>445</v>
      </c>
      <c r="C69" s="102" t="s">
        <v>11</v>
      </c>
      <c r="D69" s="177" t="s">
        <v>23</v>
      </c>
      <c r="E69" s="102" t="n">
        <v>12</v>
      </c>
      <c r="F69" s="102" t="n">
        <v>10</v>
      </c>
      <c r="G69" s="186" t="n">
        <f aca="false">E69-F69</f>
        <v>2</v>
      </c>
      <c r="H69" s="102" t="n">
        <v>12</v>
      </c>
      <c r="I69" s="102" t="n">
        <v>3</v>
      </c>
      <c r="J69" s="186" t="n">
        <f aca="false">H69-I69</f>
        <v>9</v>
      </c>
      <c r="K69" s="102" t="n">
        <v>18</v>
      </c>
      <c r="L69" s="102" t="n">
        <f aca="false">K69-12</f>
        <v>6</v>
      </c>
      <c r="M69" s="187" t="n">
        <v>0.933</v>
      </c>
    </row>
    <row r="70" customFormat="false" ht="15" hidden="false" customHeight="false" outlineLevel="0" collapsed="false">
      <c r="A70" s="106" t="s">
        <v>446</v>
      </c>
      <c r="B70" s="179" t="s">
        <v>134</v>
      </c>
      <c r="C70" s="106" t="s">
        <v>11</v>
      </c>
      <c r="D70" s="179" t="s">
        <v>23</v>
      </c>
      <c r="E70" s="106" t="n">
        <v>12</v>
      </c>
      <c r="F70" s="106" t="n">
        <v>1</v>
      </c>
      <c r="G70" s="188" t="n">
        <f aca="false">E70-F70</f>
        <v>11</v>
      </c>
      <c r="H70" s="106" t="n">
        <v>12</v>
      </c>
      <c r="I70" s="106" t="n">
        <v>4</v>
      </c>
      <c r="J70" s="188" t="n">
        <f aca="false">H70-I70</f>
        <v>8</v>
      </c>
      <c r="K70" s="106" t="n">
        <v>18</v>
      </c>
      <c r="L70" s="106" t="n">
        <f aca="false">K70-11</f>
        <v>7</v>
      </c>
      <c r="M70" s="189" t="n">
        <v>0.985</v>
      </c>
    </row>
    <row r="71" customFormat="false" ht="15" hidden="false" customHeight="false" outlineLevel="0" collapsed="false">
      <c r="A71" s="102" t="s">
        <v>447</v>
      </c>
      <c r="B71" s="177" t="s">
        <v>448</v>
      </c>
      <c r="C71" s="102" t="s">
        <v>11</v>
      </c>
      <c r="D71" s="177" t="s">
        <v>23</v>
      </c>
      <c r="E71" s="102" t="n">
        <v>12</v>
      </c>
      <c r="F71" s="102" t="n">
        <v>10</v>
      </c>
      <c r="G71" s="186" t="n">
        <f aca="false">E71-F71</f>
        <v>2</v>
      </c>
      <c r="H71" s="102" t="n">
        <v>12</v>
      </c>
      <c r="I71" s="102" t="n">
        <v>8</v>
      </c>
      <c r="J71" s="186" t="n">
        <f aca="false">H71-I71</f>
        <v>4</v>
      </c>
      <c r="K71" s="102" t="n">
        <v>18</v>
      </c>
      <c r="L71" s="102" t="n">
        <f aca="false">K71-10</f>
        <v>8</v>
      </c>
      <c r="M71" s="187" t="n">
        <v>0.881</v>
      </c>
    </row>
    <row r="72" customFormat="false" ht="15" hidden="false" customHeight="false" outlineLevel="0" collapsed="false">
      <c r="A72" s="106" t="s">
        <v>158</v>
      </c>
      <c r="B72" s="179" t="s">
        <v>128</v>
      </c>
      <c r="C72" s="106" t="s">
        <v>11</v>
      </c>
      <c r="D72" s="179" t="s">
        <v>24</v>
      </c>
      <c r="E72" s="106" t="n">
        <v>12</v>
      </c>
      <c r="F72" s="106" t="n">
        <v>4</v>
      </c>
      <c r="G72" s="188" t="n">
        <f aca="false">E72-F72</f>
        <v>8</v>
      </c>
      <c r="H72" s="106" t="n">
        <v>12</v>
      </c>
      <c r="I72" s="106" t="n">
        <v>2</v>
      </c>
      <c r="J72" s="188" t="n">
        <f aca="false">H72-I72</f>
        <v>10</v>
      </c>
      <c r="K72" s="106" t="n">
        <v>18</v>
      </c>
      <c r="L72" s="106" t="n">
        <f aca="false">K72-8</f>
        <v>10</v>
      </c>
      <c r="M72" s="189" t="n">
        <v>0.881</v>
      </c>
    </row>
    <row r="73" customFormat="false" ht="15" hidden="false" customHeight="false" outlineLevel="0" collapsed="false">
      <c r="A73" s="102" t="s">
        <v>159</v>
      </c>
      <c r="B73" s="177" t="s">
        <v>160</v>
      </c>
      <c r="C73" s="102" t="s">
        <v>11</v>
      </c>
      <c r="D73" s="177" t="s">
        <v>24</v>
      </c>
      <c r="E73" s="102" t="n">
        <v>12</v>
      </c>
      <c r="F73" s="102" t="n">
        <v>6</v>
      </c>
      <c r="G73" s="186" t="n">
        <f aca="false">E73-F73</f>
        <v>6</v>
      </c>
      <c r="H73" s="102" t="n">
        <v>12</v>
      </c>
      <c r="I73" s="102" t="n">
        <v>5</v>
      </c>
      <c r="J73" s="186" t="n">
        <f aca="false">H73-I73</f>
        <v>7</v>
      </c>
      <c r="K73" s="102" t="n">
        <v>18</v>
      </c>
      <c r="L73" s="102" t="n">
        <f aca="false">K73-10</f>
        <v>8</v>
      </c>
      <c r="M73" s="187" t="n">
        <v>0.946</v>
      </c>
    </row>
    <row r="74" customFormat="false" ht="15" hidden="false" customHeight="false" outlineLevel="0" collapsed="false">
      <c r="A74" s="106" t="s">
        <v>452</v>
      </c>
      <c r="B74" s="179" t="s">
        <v>453</v>
      </c>
      <c r="C74" s="106" t="s">
        <v>11</v>
      </c>
      <c r="D74" s="179" t="s">
        <v>24</v>
      </c>
      <c r="E74" s="106" t="n">
        <v>12</v>
      </c>
      <c r="F74" s="106" t="n">
        <v>8</v>
      </c>
      <c r="G74" s="188" t="n">
        <f aca="false">E74-F74</f>
        <v>4</v>
      </c>
      <c r="H74" s="106" t="n">
        <v>12</v>
      </c>
      <c r="I74" s="106" t="n">
        <v>1</v>
      </c>
      <c r="J74" s="188" t="n">
        <f aca="false">H74-I74</f>
        <v>11</v>
      </c>
      <c r="K74" s="106" t="n">
        <v>18</v>
      </c>
      <c r="L74" s="106" t="n">
        <f aca="false">K74-12</f>
        <v>6</v>
      </c>
      <c r="M74" s="189" t="n">
        <v>0.972</v>
      </c>
    </row>
    <row r="75" customFormat="false" ht="15" hidden="false" customHeight="false" outlineLevel="0" collapsed="false">
      <c r="A75" s="102" t="s">
        <v>454</v>
      </c>
      <c r="B75" s="177" t="s">
        <v>455</v>
      </c>
      <c r="C75" s="102" t="s">
        <v>11</v>
      </c>
      <c r="D75" s="177" t="s">
        <v>24</v>
      </c>
      <c r="E75" s="102" t="n">
        <v>12</v>
      </c>
      <c r="F75" s="102" t="n">
        <v>0</v>
      </c>
      <c r="G75" s="186" t="n">
        <f aca="false">E75-F75</f>
        <v>12</v>
      </c>
      <c r="H75" s="102" t="n">
        <v>12</v>
      </c>
      <c r="I75" s="102" t="n">
        <v>6</v>
      </c>
      <c r="J75" s="186" t="n">
        <f aca="false">H75-I75</f>
        <v>6</v>
      </c>
      <c r="K75" s="102" t="n">
        <v>18</v>
      </c>
      <c r="L75" s="102" t="n">
        <f aca="false">K75-0</f>
        <v>18</v>
      </c>
      <c r="M75" s="187" t="n">
        <v>0.969</v>
      </c>
    </row>
    <row r="76" customFormat="false" ht="15" hidden="false" customHeight="false" outlineLevel="0" collapsed="false">
      <c r="A76" s="106" t="s">
        <v>456</v>
      </c>
      <c r="B76" s="179" t="s">
        <v>69</v>
      </c>
      <c r="C76" s="106" t="s">
        <v>11</v>
      </c>
      <c r="D76" s="179" t="s">
        <v>24</v>
      </c>
      <c r="E76" s="106" t="n">
        <v>12</v>
      </c>
      <c r="F76" s="106" t="n">
        <v>8</v>
      </c>
      <c r="G76" s="188" t="n">
        <f aca="false">E76-F76</f>
        <v>4</v>
      </c>
      <c r="H76" s="106" t="n">
        <v>12</v>
      </c>
      <c r="I76" s="106" t="n">
        <v>10</v>
      </c>
      <c r="J76" s="188" t="n">
        <f aca="false">H76-I76</f>
        <v>2</v>
      </c>
      <c r="K76" s="106" t="n">
        <v>18</v>
      </c>
      <c r="L76" s="106" t="n">
        <f aca="false">K76-6</f>
        <v>12</v>
      </c>
      <c r="M76" s="189" t="n">
        <v>0.934</v>
      </c>
    </row>
    <row r="77" customFormat="false" ht="15" hidden="false" customHeight="false" outlineLevel="0" collapsed="false">
      <c r="A77" s="102" t="s">
        <v>458</v>
      </c>
      <c r="B77" s="177" t="s">
        <v>459</v>
      </c>
      <c r="C77" s="102" t="s">
        <v>11</v>
      </c>
      <c r="D77" s="177" t="s">
        <v>24</v>
      </c>
      <c r="E77" s="102" t="n">
        <v>12</v>
      </c>
      <c r="F77" s="102" t="n">
        <v>10</v>
      </c>
      <c r="G77" s="186" t="n">
        <f aca="false">E77-F77</f>
        <v>2</v>
      </c>
      <c r="H77" s="102" t="n">
        <v>12</v>
      </c>
      <c r="I77" s="102" t="n">
        <v>5</v>
      </c>
      <c r="J77" s="186" t="n">
        <f aca="false">H77-I77</f>
        <v>7</v>
      </c>
      <c r="K77" s="102" t="n">
        <v>18</v>
      </c>
      <c r="L77" s="102" t="n">
        <f aca="false">K77-10</f>
        <v>8</v>
      </c>
      <c r="M77" s="187" t="n">
        <v>0.988</v>
      </c>
    </row>
    <row r="78" customFormat="false" ht="15" hidden="false" customHeight="false" outlineLevel="0" collapsed="false">
      <c r="A78" s="106" t="s">
        <v>460</v>
      </c>
      <c r="B78" s="179" t="s">
        <v>461</v>
      </c>
      <c r="C78" s="106" t="s">
        <v>11</v>
      </c>
      <c r="D78" s="179" t="s">
        <v>24</v>
      </c>
      <c r="E78" s="106" t="n">
        <v>12</v>
      </c>
      <c r="F78" s="106" t="n">
        <v>4</v>
      </c>
      <c r="G78" s="188" t="n">
        <f aca="false">E78-F78</f>
        <v>8</v>
      </c>
      <c r="H78" s="106" t="n">
        <v>12</v>
      </c>
      <c r="I78" s="106" t="n">
        <v>8</v>
      </c>
      <c r="J78" s="188" t="n">
        <f aca="false">H78-I78</f>
        <v>4</v>
      </c>
      <c r="K78" s="106" t="n">
        <v>18</v>
      </c>
      <c r="L78" s="106" t="n">
        <f aca="false">K78-9</f>
        <v>9</v>
      </c>
      <c r="M78" s="189" t="n">
        <v>0.984</v>
      </c>
    </row>
    <row r="79" customFormat="false" ht="15" hidden="false" customHeight="false" outlineLevel="0" collapsed="false">
      <c r="A79" s="102" t="s">
        <v>463</v>
      </c>
      <c r="B79" s="177" t="s">
        <v>464</v>
      </c>
      <c r="C79" s="102" t="s">
        <v>11</v>
      </c>
      <c r="D79" s="177" t="s">
        <v>24</v>
      </c>
      <c r="E79" s="102" t="n">
        <v>12</v>
      </c>
      <c r="F79" s="102" t="n">
        <v>6</v>
      </c>
      <c r="G79" s="186" t="n">
        <f aca="false">E79-F79</f>
        <v>6</v>
      </c>
      <c r="H79" s="102" t="n">
        <v>12</v>
      </c>
      <c r="I79" s="102" t="n">
        <v>4</v>
      </c>
      <c r="J79" s="186" t="n">
        <f aca="false">H79-I79</f>
        <v>8</v>
      </c>
      <c r="K79" s="102" t="n">
        <v>18</v>
      </c>
      <c r="L79" s="102" t="n">
        <f aca="false">K79-4</f>
        <v>14</v>
      </c>
      <c r="M79" s="187" t="n">
        <v>0.914</v>
      </c>
    </row>
    <row r="80" customFormat="false" ht="15" hidden="false" customHeight="false" outlineLevel="0" collapsed="false">
      <c r="A80" s="106" t="s">
        <v>66</v>
      </c>
      <c r="B80" s="179" t="s">
        <v>67</v>
      </c>
      <c r="C80" s="106" t="s">
        <v>11</v>
      </c>
      <c r="D80" s="179" t="s">
        <v>25</v>
      </c>
      <c r="E80" s="106" t="n">
        <v>12</v>
      </c>
      <c r="F80" s="106" t="n">
        <v>6</v>
      </c>
      <c r="G80" s="188" t="n">
        <f aca="false">E80-F80</f>
        <v>6</v>
      </c>
      <c r="H80" s="106" t="n">
        <v>12</v>
      </c>
      <c r="I80" s="106" t="n">
        <v>10</v>
      </c>
      <c r="J80" s="188" t="n">
        <f aca="false">H80-I80</f>
        <v>2</v>
      </c>
      <c r="K80" s="106" t="n">
        <v>18</v>
      </c>
      <c r="L80" s="106" t="n">
        <f aca="false">K80-5</f>
        <v>13</v>
      </c>
      <c r="M80" s="189" t="n">
        <v>0.976</v>
      </c>
    </row>
    <row r="81" customFormat="false" ht="15" hidden="false" customHeight="false" outlineLevel="0" collapsed="false">
      <c r="A81" s="102" t="s">
        <v>88</v>
      </c>
      <c r="B81" s="177" t="s">
        <v>89</v>
      </c>
      <c r="C81" s="102" t="s">
        <v>11</v>
      </c>
      <c r="D81" s="177" t="s">
        <v>25</v>
      </c>
      <c r="E81" s="102" t="n">
        <v>12</v>
      </c>
      <c r="F81" s="102" t="n">
        <v>6</v>
      </c>
      <c r="G81" s="186" t="n">
        <f aca="false">E81-F81</f>
        <v>6</v>
      </c>
      <c r="H81" s="102" t="n">
        <v>12</v>
      </c>
      <c r="I81" s="102" t="n">
        <v>8</v>
      </c>
      <c r="J81" s="186" t="n">
        <f aca="false">H81-I81</f>
        <v>4</v>
      </c>
      <c r="K81" s="102" t="n">
        <v>18</v>
      </c>
      <c r="L81" s="102" t="n">
        <f aca="false">K81-0</f>
        <v>18</v>
      </c>
      <c r="M81" s="187" t="n">
        <v>0.923</v>
      </c>
    </row>
    <row r="82" customFormat="false" ht="15" hidden="false" customHeight="false" outlineLevel="0" collapsed="false">
      <c r="A82" s="106" t="s">
        <v>467</v>
      </c>
      <c r="B82" s="179" t="s">
        <v>468</v>
      </c>
      <c r="C82" s="106" t="s">
        <v>11</v>
      </c>
      <c r="D82" s="179" t="s">
        <v>25</v>
      </c>
      <c r="E82" s="106" t="n">
        <v>12</v>
      </c>
      <c r="F82" s="106" t="n">
        <v>6</v>
      </c>
      <c r="G82" s="188" t="n">
        <f aca="false">E82-F82</f>
        <v>6</v>
      </c>
      <c r="H82" s="106" t="n">
        <v>12</v>
      </c>
      <c r="I82" s="106" t="n">
        <v>9</v>
      </c>
      <c r="J82" s="188" t="n">
        <f aca="false">H82-I82</f>
        <v>3</v>
      </c>
      <c r="K82" s="106" t="n">
        <v>18</v>
      </c>
      <c r="L82" s="106" t="n">
        <f aca="false">K82-10</f>
        <v>8</v>
      </c>
      <c r="M82" s="189" t="n">
        <v>0.954</v>
      </c>
    </row>
    <row r="83" customFormat="false" ht="15" hidden="false" customHeight="false" outlineLevel="0" collapsed="false">
      <c r="A83" s="102" t="s">
        <v>469</v>
      </c>
      <c r="B83" s="177" t="s">
        <v>470</v>
      </c>
      <c r="C83" s="102" t="s">
        <v>11</v>
      </c>
      <c r="D83" s="177" t="s">
        <v>25</v>
      </c>
      <c r="E83" s="102" t="n">
        <v>12</v>
      </c>
      <c r="F83" s="102" t="n">
        <v>10</v>
      </c>
      <c r="G83" s="186" t="n">
        <f aca="false">E83-F83</f>
        <v>2</v>
      </c>
      <c r="H83" s="102" t="n">
        <v>12</v>
      </c>
      <c r="I83" s="102" t="n">
        <v>3</v>
      </c>
      <c r="J83" s="186" t="n">
        <f aca="false">H83-I83</f>
        <v>9</v>
      </c>
      <c r="K83" s="102" t="n">
        <v>18</v>
      </c>
      <c r="L83" s="102" t="n">
        <f aca="false">K83-15</f>
        <v>3</v>
      </c>
      <c r="M83" s="187" t="n">
        <v>0.992</v>
      </c>
    </row>
    <row r="84" customFormat="false" ht="15" hidden="false" customHeight="false" outlineLevel="0" collapsed="false">
      <c r="A84" s="106" t="s">
        <v>472</v>
      </c>
      <c r="B84" s="179" t="s">
        <v>473</v>
      </c>
      <c r="C84" s="106" t="s">
        <v>11</v>
      </c>
      <c r="D84" s="179" t="s">
        <v>25</v>
      </c>
      <c r="E84" s="106" t="n">
        <v>12</v>
      </c>
      <c r="F84" s="106" t="n">
        <v>1</v>
      </c>
      <c r="G84" s="188" t="n">
        <f aca="false">E84-F84</f>
        <v>11</v>
      </c>
      <c r="H84" s="106" t="n">
        <v>12</v>
      </c>
      <c r="I84" s="106" t="n">
        <v>4</v>
      </c>
      <c r="J84" s="188" t="n">
        <f aca="false">H84-I84</f>
        <v>8</v>
      </c>
      <c r="K84" s="106" t="n">
        <v>18</v>
      </c>
      <c r="L84" s="106" t="n">
        <f aca="false">K84-10</f>
        <v>8</v>
      </c>
      <c r="M84" s="189" t="n">
        <v>0.898</v>
      </c>
    </row>
    <row r="85" customFormat="false" ht="15" hidden="false" customHeight="false" outlineLevel="0" collapsed="false">
      <c r="A85" s="102" t="s">
        <v>474</v>
      </c>
      <c r="B85" s="177" t="s">
        <v>475</v>
      </c>
      <c r="C85" s="102" t="s">
        <v>11</v>
      </c>
      <c r="D85" s="177" t="s">
        <v>25</v>
      </c>
      <c r="E85" s="102" t="n">
        <v>12</v>
      </c>
      <c r="F85" s="102" t="n">
        <v>3</v>
      </c>
      <c r="G85" s="186" t="n">
        <f aca="false">E85-F85</f>
        <v>9</v>
      </c>
      <c r="H85" s="102" t="n">
        <v>12</v>
      </c>
      <c r="I85" s="102" t="n">
        <v>10</v>
      </c>
      <c r="J85" s="186" t="n">
        <f aca="false">H85-I85</f>
        <v>2</v>
      </c>
      <c r="K85" s="102" t="n">
        <v>18</v>
      </c>
      <c r="L85" s="102" t="n">
        <f aca="false">K85-9</f>
        <v>9</v>
      </c>
      <c r="M85" s="187" t="n">
        <v>0.918</v>
      </c>
    </row>
    <row r="86" customFormat="false" ht="15" hidden="false" customHeight="false" outlineLevel="0" collapsed="false">
      <c r="A86" s="106" t="s">
        <v>480</v>
      </c>
      <c r="B86" s="179" t="s">
        <v>481</v>
      </c>
      <c r="C86" s="106" t="s">
        <v>12</v>
      </c>
      <c r="D86" s="179" t="s">
        <v>15</v>
      </c>
      <c r="E86" s="106" t="n">
        <v>15</v>
      </c>
      <c r="F86" s="106" t="n">
        <v>2</v>
      </c>
      <c r="G86" s="188" t="n">
        <f aca="false">E86-F86</f>
        <v>13</v>
      </c>
      <c r="H86" s="106" t="n">
        <v>10</v>
      </c>
      <c r="I86" s="106" t="n">
        <v>0</v>
      </c>
      <c r="J86" s="188" t="n">
        <f aca="false">H86-I86</f>
        <v>10</v>
      </c>
      <c r="K86" s="106" t="n">
        <v>0</v>
      </c>
      <c r="L86" s="106" t="n">
        <f aca="false">K86-0</f>
        <v>0</v>
      </c>
      <c r="M86" s="189" t="n">
        <v>0.902</v>
      </c>
    </row>
    <row r="87" customFormat="false" ht="15" hidden="false" customHeight="false" outlineLevel="0" collapsed="false">
      <c r="A87" s="102" t="s">
        <v>482</v>
      </c>
      <c r="B87" s="177" t="s">
        <v>122</v>
      </c>
      <c r="C87" s="102" t="s">
        <v>12</v>
      </c>
      <c r="D87" s="177" t="s">
        <v>16</v>
      </c>
      <c r="E87" s="102" t="n">
        <v>15</v>
      </c>
      <c r="F87" s="102" t="n">
        <v>7</v>
      </c>
      <c r="G87" s="186" t="n">
        <f aca="false">E87-F87</f>
        <v>8</v>
      </c>
      <c r="H87" s="102" t="n">
        <v>10</v>
      </c>
      <c r="I87" s="102" t="n">
        <v>1</v>
      </c>
      <c r="J87" s="186" t="n">
        <f aca="false">H87-I87</f>
        <v>9</v>
      </c>
      <c r="K87" s="102" t="n">
        <v>0</v>
      </c>
      <c r="L87" s="102" t="n">
        <f aca="false">K87-0</f>
        <v>0</v>
      </c>
      <c r="M87" s="187" t="n">
        <v>0.974</v>
      </c>
    </row>
    <row r="88" customFormat="false" ht="15" hidden="false" customHeight="false" outlineLevel="0" collapsed="false">
      <c r="A88" s="106" t="s">
        <v>483</v>
      </c>
      <c r="B88" s="179" t="s">
        <v>484</v>
      </c>
      <c r="C88" s="106" t="s">
        <v>12</v>
      </c>
      <c r="D88" s="179" t="s">
        <v>20</v>
      </c>
      <c r="E88" s="106" t="n">
        <v>15</v>
      </c>
      <c r="F88" s="106" t="n">
        <v>10</v>
      </c>
      <c r="G88" s="188" t="n">
        <f aca="false">E88-F88</f>
        <v>5</v>
      </c>
      <c r="H88" s="106" t="n">
        <v>10</v>
      </c>
      <c r="I88" s="106" t="n">
        <v>3</v>
      </c>
      <c r="J88" s="188" t="n">
        <f aca="false">H88-I88</f>
        <v>7</v>
      </c>
      <c r="K88" s="106" t="n">
        <v>0</v>
      </c>
      <c r="L88" s="106" t="n">
        <f aca="false">K88-0</f>
        <v>0</v>
      </c>
      <c r="M88" s="189" t="n">
        <v>0.965</v>
      </c>
    </row>
    <row r="89" customFormat="false" ht="15" hidden="false" customHeight="false" outlineLevel="0" collapsed="false">
      <c r="A89" s="102" t="s">
        <v>485</v>
      </c>
      <c r="B89" s="177" t="s">
        <v>486</v>
      </c>
      <c r="C89" s="102" t="s">
        <v>12</v>
      </c>
      <c r="D89" s="177" t="s">
        <v>21</v>
      </c>
      <c r="E89" s="102" t="n">
        <v>15</v>
      </c>
      <c r="F89" s="102" t="n">
        <v>3</v>
      </c>
      <c r="G89" s="186" t="n">
        <f aca="false">E89-F89</f>
        <v>12</v>
      </c>
      <c r="H89" s="102" t="n">
        <v>10</v>
      </c>
      <c r="I89" s="102" t="n">
        <v>2</v>
      </c>
      <c r="J89" s="186" t="n">
        <f aca="false">H89-I89</f>
        <v>8</v>
      </c>
      <c r="K89" s="102" t="n">
        <v>0</v>
      </c>
      <c r="L89" s="102" t="n">
        <f aca="false">K89-0</f>
        <v>0</v>
      </c>
      <c r="M89" s="187" t="n">
        <v>0.909</v>
      </c>
    </row>
    <row r="90" customFormat="false" ht="15" hidden="false" customHeight="false" outlineLevel="0" collapsed="false">
      <c r="A90" s="106" t="s">
        <v>488</v>
      </c>
      <c r="B90" s="179" t="s">
        <v>489</v>
      </c>
      <c r="C90" s="106" t="s">
        <v>12</v>
      </c>
      <c r="D90" s="179" t="s">
        <v>22</v>
      </c>
      <c r="E90" s="106" t="n">
        <v>15</v>
      </c>
      <c r="F90" s="106" t="n">
        <v>12</v>
      </c>
      <c r="G90" s="188" t="n">
        <f aca="false">E90-F90</f>
        <v>3</v>
      </c>
      <c r="H90" s="106" t="n">
        <v>10</v>
      </c>
      <c r="I90" s="106" t="n">
        <v>1</v>
      </c>
      <c r="J90" s="188" t="n">
        <f aca="false">H90-I90</f>
        <v>9</v>
      </c>
      <c r="K90" s="106" t="n">
        <v>0</v>
      </c>
      <c r="L90" s="106" t="n">
        <f aca="false">K90-0</f>
        <v>0</v>
      </c>
      <c r="M90" s="189" t="n">
        <v>0.962</v>
      </c>
    </row>
    <row r="91" customFormat="false" ht="15" hidden="false" customHeight="false" outlineLevel="0" collapsed="false">
      <c r="A91" s="102" t="s">
        <v>490</v>
      </c>
      <c r="B91" s="177" t="s">
        <v>491</v>
      </c>
      <c r="C91" s="102" t="s">
        <v>12</v>
      </c>
      <c r="D91" s="177" t="s">
        <v>23</v>
      </c>
      <c r="E91" s="102" t="n">
        <v>15</v>
      </c>
      <c r="F91" s="102" t="n">
        <v>12</v>
      </c>
      <c r="G91" s="186" t="n">
        <f aca="false">E91-F91</f>
        <v>3</v>
      </c>
      <c r="H91" s="102" t="n">
        <v>10</v>
      </c>
      <c r="I91" s="102" t="n">
        <v>8</v>
      </c>
      <c r="J91" s="186" t="n">
        <f aca="false">H91-I91</f>
        <v>2</v>
      </c>
      <c r="K91" s="102" t="n">
        <v>0</v>
      </c>
      <c r="L91" s="102" t="n">
        <f aca="false">K91-0</f>
        <v>0</v>
      </c>
      <c r="M91" s="187" t="n">
        <v>0.971</v>
      </c>
    </row>
    <row r="92" customFormat="false" ht="15" hidden="false" customHeight="false" outlineLevel="0" collapsed="false">
      <c r="A92" s="106" t="s">
        <v>492</v>
      </c>
      <c r="B92" s="179" t="s">
        <v>493</v>
      </c>
      <c r="C92" s="106" t="s">
        <v>12</v>
      </c>
      <c r="D92" s="179" t="s">
        <v>15</v>
      </c>
      <c r="E92" s="106" t="n">
        <v>15</v>
      </c>
      <c r="F92" s="106" t="n">
        <v>3</v>
      </c>
      <c r="G92" s="188" t="n">
        <f aca="false">E92-F92</f>
        <v>12</v>
      </c>
      <c r="H92" s="106" t="n">
        <v>10</v>
      </c>
      <c r="I92" s="106" t="n">
        <v>1</v>
      </c>
      <c r="J92" s="188" t="n">
        <f aca="false">H92-I92</f>
        <v>9</v>
      </c>
      <c r="K92" s="106" t="n">
        <v>0</v>
      </c>
      <c r="L92" s="106" t="n">
        <f aca="false">K92-0</f>
        <v>0</v>
      </c>
      <c r="M92" s="189" t="n">
        <v>0.971</v>
      </c>
    </row>
    <row r="93" customFormat="false" ht="15" hidden="false" customHeight="false" outlineLevel="0" collapsed="false">
      <c r="A93" s="102" t="s">
        <v>494</v>
      </c>
      <c r="B93" s="177" t="s">
        <v>495</v>
      </c>
      <c r="C93" s="102" t="s">
        <v>12</v>
      </c>
      <c r="D93" s="177" t="s">
        <v>16</v>
      </c>
      <c r="E93" s="102" t="n">
        <v>15</v>
      </c>
      <c r="F93" s="102" t="n">
        <v>7</v>
      </c>
      <c r="G93" s="186" t="n">
        <f aca="false">E93-F93</f>
        <v>8</v>
      </c>
      <c r="H93" s="102" t="n">
        <v>10</v>
      </c>
      <c r="I93" s="102" t="n">
        <v>8</v>
      </c>
      <c r="J93" s="186" t="n">
        <f aca="false">H93-I93</f>
        <v>2</v>
      </c>
      <c r="K93" s="102" t="n">
        <v>0</v>
      </c>
      <c r="L93" s="102" t="n">
        <f aca="false">K93-0</f>
        <v>0</v>
      </c>
      <c r="M93" s="187" t="n">
        <v>0.986</v>
      </c>
    </row>
    <row r="94" customFormat="false" ht="15" hidden="false" customHeight="false" outlineLevel="0" collapsed="false">
      <c r="A94" s="106" t="s">
        <v>496</v>
      </c>
      <c r="B94" s="179" t="s">
        <v>114</v>
      </c>
      <c r="C94" s="106" t="s">
        <v>12</v>
      </c>
      <c r="D94" s="179" t="s">
        <v>16</v>
      </c>
      <c r="E94" s="106" t="n">
        <v>15</v>
      </c>
      <c r="F94" s="106" t="n">
        <v>12</v>
      </c>
      <c r="G94" s="188" t="n">
        <f aca="false">E94-F94</f>
        <v>3</v>
      </c>
      <c r="H94" s="106" t="n">
        <v>10</v>
      </c>
      <c r="I94" s="106" t="n">
        <v>7</v>
      </c>
      <c r="J94" s="188" t="n">
        <f aca="false">H94-I94</f>
        <v>3</v>
      </c>
      <c r="K94" s="106" t="n">
        <v>0</v>
      </c>
      <c r="L94" s="106" t="n">
        <f aca="false">K94-0</f>
        <v>0</v>
      </c>
      <c r="M94" s="189" t="n">
        <v>0.998</v>
      </c>
    </row>
    <row r="95" customFormat="false" ht="15" hidden="false" customHeight="false" outlineLevel="0" collapsed="false">
      <c r="A95" s="102" t="s">
        <v>497</v>
      </c>
      <c r="B95" s="177" t="s">
        <v>498</v>
      </c>
      <c r="C95" s="102" t="s">
        <v>12</v>
      </c>
      <c r="D95" s="177" t="s">
        <v>20</v>
      </c>
      <c r="E95" s="102" t="n">
        <v>15</v>
      </c>
      <c r="F95" s="102" t="n">
        <v>8</v>
      </c>
      <c r="G95" s="186" t="n">
        <f aca="false">E95-F95</f>
        <v>7</v>
      </c>
      <c r="H95" s="102" t="n">
        <v>10</v>
      </c>
      <c r="I95" s="102" t="n">
        <v>6</v>
      </c>
      <c r="J95" s="186" t="n">
        <f aca="false">H95-I95</f>
        <v>4</v>
      </c>
      <c r="K95" s="102" t="n">
        <v>0</v>
      </c>
      <c r="L95" s="102" t="n">
        <f aca="false">K95-0</f>
        <v>0</v>
      </c>
      <c r="M95" s="187" t="n">
        <v>0.984</v>
      </c>
    </row>
    <row r="96" customFormat="false" ht="15" hidden="false" customHeight="false" outlineLevel="0" collapsed="false">
      <c r="A96" s="106" t="s">
        <v>499</v>
      </c>
      <c r="B96" s="179" t="s">
        <v>500</v>
      </c>
      <c r="C96" s="106" t="s">
        <v>12</v>
      </c>
      <c r="D96" s="179" t="s">
        <v>20</v>
      </c>
      <c r="E96" s="106" t="n">
        <v>15</v>
      </c>
      <c r="F96" s="106" t="n">
        <v>2</v>
      </c>
      <c r="G96" s="188" t="n">
        <f aca="false">E96-F96</f>
        <v>13</v>
      </c>
      <c r="H96" s="106" t="n">
        <v>10</v>
      </c>
      <c r="I96" s="106" t="n">
        <v>7</v>
      </c>
      <c r="J96" s="188" t="n">
        <f aca="false">H96-I96</f>
        <v>3</v>
      </c>
      <c r="K96" s="106" t="n">
        <v>0</v>
      </c>
      <c r="L96" s="106" t="n">
        <f aca="false">K96-0</f>
        <v>0</v>
      </c>
      <c r="M96" s="189" t="n">
        <v>0.973</v>
      </c>
    </row>
    <row r="97" customFormat="false" ht="15" hidden="false" customHeight="false" outlineLevel="0" collapsed="false">
      <c r="A97" s="102" t="s">
        <v>501</v>
      </c>
      <c r="B97" s="177" t="s">
        <v>502</v>
      </c>
      <c r="C97" s="102" t="s">
        <v>12</v>
      </c>
      <c r="D97" s="177" t="s">
        <v>21</v>
      </c>
      <c r="E97" s="102" t="n">
        <v>15</v>
      </c>
      <c r="F97" s="102" t="n">
        <v>3</v>
      </c>
      <c r="G97" s="186" t="n">
        <f aca="false">E97-F97</f>
        <v>12</v>
      </c>
      <c r="H97" s="102" t="n">
        <v>10</v>
      </c>
      <c r="I97" s="102" t="n">
        <v>4</v>
      </c>
      <c r="J97" s="186" t="n">
        <f aca="false">H97-I97</f>
        <v>6</v>
      </c>
      <c r="K97" s="102" t="n">
        <v>0</v>
      </c>
      <c r="L97" s="102" t="n">
        <f aca="false">K97-0</f>
        <v>0</v>
      </c>
      <c r="M97" s="187" t="n">
        <v>0.985</v>
      </c>
    </row>
    <row r="98" customFormat="false" ht="15" hidden="false" customHeight="false" outlineLevel="0" collapsed="false">
      <c r="A98" s="106" t="s">
        <v>503</v>
      </c>
      <c r="B98" s="179" t="s">
        <v>504</v>
      </c>
      <c r="C98" s="106" t="s">
        <v>12</v>
      </c>
      <c r="D98" s="179" t="s">
        <v>21</v>
      </c>
      <c r="E98" s="106" t="n">
        <v>15</v>
      </c>
      <c r="F98" s="106" t="n">
        <v>3</v>
      </c>
      <c r="G98" s="188" t="n">
        <f aca="false">E98-F98</f>
        <v>12</v>
      </c>
      <c r="H98" s="106" t="n">
        <v>10</v>
      </c>
      <c r="I98" s="106" t="n">
        <v>4</v>
      </c>
      <c r="J98" s="188" t="n">
        <f aca="false">H98-I98</f>
        <v>6</v>
      </c>
      <c r="K98" s="106" t="n">
        <v>0</v>
      </c>
      <c r="L98" s="106" t="n">
        <f aca="false">K98-0</f>
        <v>0</v>
      </c>
      <c r="M98" s="189" t="n">
        <v>0.971</v>
      </c>
    </row>
    <row r="99" customFormat="false" ht="15" hidden="false" customHeight="false" outlineLevel="0" collapsed="false">
      <c r="A99" s="102" t="s">
        <v>505</v>
      </c>
      <c r="B99" s="177" t="s">
        <v>126</v>
      </c>
      <c r="C99" s="102" t="s">
        <v>12</v>
      </c>
      <c r="D99" s="177" t="s">
        <v>22</v>
      </c>
      <c r="E99" s="102" t="n">
        <v>15</v>
      </c>
      <c r="F99" s="102" t="n">
        <v>4</v>
      </c>
      <c r="G99" s="186" t="n">
        <f aca="false">E99-F99</f>
        <v>11</v>
      </c>
      <c r="H99" s="102" t="n">
        <v>10</v>
      </c>
      <c r="I99" s="102" t="n">
        <v>3</v>
      </c>
      <c r="J99" s="186" t="n">
        <f aca="false">H99-I99</f>
        <v>7</v>
      </c>
      <c r="K99" s="102" t="n">
        <v>0</v>
      </c>
      <c r="L99" s="102" t="n">
        <f aca="false">K99-0</f>
        <v>0</v>
      </c>
      <c r="M99" s="187" t="n">
        <v>0.943</v>
      </c>
    </row>
    <row r="100" customFormat="false" ht="15" hidden="false" customHeight="false" outlineLevel="0" collapsed="false">
      <c r="A100" s="106" t="s">
        <v>506</v>
      </c>
      <c r="B100" s="179" t="s">
        <v>504</v>
      </c>
      <c r="C100" s="106" t="s">
        <v>12</v>
      </c>
      <c r="D100" s="179" t="s">
        <v>23</v>
      </c>
      <c r="E100" s="106" t="n">
        <v>15</v>
      </c>
      <c r="F100" s="106" t="n">
        <v>8</v>
      </c>
      <c r="G100" s="188" t="n">
        <f aca="false">E100-F100</f>
        <v>7</v>
      </c>
      <c r="H100" s="106" t="n">
        <v>10</v>
      </c>
      <c r="I100" s="106" t="n">
        <v>1</v>
      </c>
      <c r="J100" s="188" t="n">
        <f aca="false">H100-I100</f>
        <v>9</v>
      </c>
      <c r="K100" s="106" t="n">
        <v>0</v>
      </c>
      <c r="L100" s="106" t="n">
        <f aca="false">K100-0</f>
        <v>0</v>
      </c>
      <c r="M100" s="189" t="n">
        <v>0.922</v>
      </c>
    </row>
    <row r="101" customFormat="false" ht="15" hidden="false" customHeight="false" outlineLevel="0" collapsed="false">
      <c r="A101" s="102" t="s">
        <v>507</v>
      </c>
      <c r="B101" s="177" t="s">
        <v>508</v>
      </c>
      <c r="C101" s="102" t="s">
        <v>12</v>
      </c>
      <c r="D101" s="177" t="s">
        <v>23</v>
      </c>
      <c r="E101" s="102" t="n">
        <v>15</v>
      </c>
      <c r="F101" s="102" t="n">
        <v>6</v>
      </c>
      <c r="G101" s="186" t="n">
        <f aca="false">E101-F101</f>
        <v>9</v>
      </c>
      <c r="H101" s="102" t="n">
        <v>10</v>
      </c>
      <c r="I101" s="102" t="n">
        <v>2</v>
      </c>
      <c r="J101" s="186" t="n">
        <f aca="false">H101-I101</f>
        <v>8</v>
      </c>
      <c r="K101" s="102" t="n">
        <v>0</v>
      </c>
      <c r="L101" s="102" t="n">
        <f aca="false">K101-0</f>
        <v>0</v>
      </c>
      <c r="M101" s="187" t="n">
        <v>0.931</v>
      </c>
    </row>
    <row r="102" customFormat="false" ht="15" hidden="false" customHeight="false" outlineLevel="0" collapsed="false">
      <c r="A102" s="106" t="s">
        <v>86</v>
      </c>
      <c r="B102" s="179" t="s">
        <v>87</v>
      </c>
      <c r="C102" s="106" t="s">
        <v>12</v>
      </c>
      <c r="D102" s="179" t="s">
        <v>15</v>
      </c>
      <c r="E102" s="106" t="n">
        <v>15</v>
      </c>
      <c r="F102" s="106" t="n">
        <v>6</v>
      </c>
      <c r="G102" s="188" t="n">
        <f aca="false">E102-F102</f>
        <v>9</v>
      </c>
      <c r="H102" s="106" t="n">
        <v>10</v>
      </c>
      <c r="I102" s="106" t="n">
        <v>5</v>
      </c>
      <c r="J102" s="188" t="n">
        <f aca="false">H102-I102</f>
        <v>5</v>
      </c>
      <c r="K102" s="106" t="n">
        <v>0</v>
      </c>
      <c r="L102" s="106" t="n">
        <f aca="false">K102-0</f>
        <v>0</v>
      </c>
      <c r="M102" s="189" t="n">
        <v>0.985</v>
      </c>
    </row>
    <row r="103" customFormat="false" ht="15" hidden="false" customHeight="false" outlineLevel="0" collapsed="false">
      <c r="A103" s="102" t="s">
        <v>510</v>
      </c>
      <c r="B103" s="177" t="s">
        <v>511</v>
      </c>
      <c r="C103" s="102" t="s">
        <v>12</v>
      </c>
      <c r="D103" s="177" t="s">
        <v>15</v>
      </c>
      <c r="E103" s="102" t="n">
        <v>15</v>
      </c>
      <c r="F103" s="102" t="n">
        <v>0</v>
      </c>
      <c r="G103" s="186" t="n">
        <f aca="false">E103-F103</f>
        <v>15</v>
      </c>
      <c r="H103" s="102" t="n">
        <v>10</v>
      </c>
      <c r="I103" s="102" t="n">
        <v>3</v>
      </c>
      <c r="J103" s="186" t="n">
        <f aca="false">H103-I103</f>
        <v>7</v>
      </c>
      <c r="K103" s="102" t="n">
        <v>0</v>
      </c>
      <c r="L103" s="102" t="n">
        <f aca="false">K103-0</f>
        <v>0</v>
      </c>
      <c r="M103" s="187" t="n">
        <v>0.964</v>
      </c>
    </row>
    <row r="104" customFormat="false" ht="15" hidden="false" customHeight="false" outlineLevel="0" collapsed="false">
      <c r="A104" s="106" t="s">
        <v>82</v>
      </c>
      <c r="B104" s="179" t="s">
        <v>83</v>
      </c>
      <c r="C104" s="106" t="s">
        <v>12</v>
      </c>
      <c r="D104" s="179" t="s">
        <v>16</v>
      </c>
      <c r="E104" s="106" t="n">
        <v>15</v>
      </c>
      <c r="F104" s="106" t="n">
        <v>12</v>
      </c>
      <c r="G104" s="188" t="n">
        <f aca="false">E104-F104</f>
        <v>3</v>
      </c>
      <c r="H104" s="106" t="n">
        <v>10</v>
      </c>
      <c r="I104" s="106" t="n">
        <v>0</v>
      </c>
      <c r="J104" s="188" t="n">
        <f aca="false">H104-I104</f>
        <v>10</v>
      </c>
      <c r="K104" s="106" t="n">
        <v>0</v>
      </c>
      <c r="L104" s="106" t="n">
        <f aca="false">K104-0</f>
        <v>0</v>
      </c>
      <c r="M104" s="189" t="n">
        <v>0.994</v>
      </c>
    </row>
    <row r="105" customFormat="false" ht="15" hidden="false" customHeight="false" outlineLevel="0" collapsed="false">
      <c r="A105" s="102" t="s">
        <v>512</v>
      </c>
      <c r="B105" s="177" t="s">
        <v>513</v>
      </c>
      <c r="C105" s="102" t="s">
        <v>12</v>
      </c>
      <c r="D105" s="177" t="s">
        <v>16</v>
      </c>
      <c r="E105" s="102" t="n">
        <v>15</v>
      </c>
      <c r="F105" s="102" t="n">
        <v>0</v>
      </c>
      <c r="G105" s="186" t="n">
        <f aca="false">E105-F105</f>
        <v>15</v>
      </c>
      <c r="H105" s="102" t="n">
        <v>10</v>
      </c>
      <c r="I105" s="102" t="n">
        <v>5</v>
      </c>
      <c r="J105" s="186" t="n">
        <f aca="false">H105-I105</f>
        <v>5</v>
      </c>
      <c r="K105" s="102" t="n">
        <v>0</v>
      </c>
      <c r="L105" s="102" t="n">
        <f aca="false">K105-0</f>
        <v>0</v>
      </c>
      <c r="M105" s="187" t="n">
        <v>0.948</v>
      </c>
    </row>
    <row r="106" customFormat="false" ht="15" hidden="false" customHeight="false" outlineLevel="0" collapsed="false">
      <c r="A106" s="106" t="s">
        <v>514</v>
      </c>
      <c r="B106" s="179" t="s">
        <v>515</v>
      </c>
      <c r="C106" s="106" t="s">
        <v>12</v>
      </c>
      <c r="D106" s="179" t="s">
        <v>16</v>
      </c>
      <c r="E106" s="106" t="n">
        <v>15</v>
      </c>
      <c r="F106" s="106" t="n">
        <v>6</v>
      </c>
      <c r="G106" s="188" t="n">
        <f aca="false">E106-F106</f>
        <v>9</v>
      </c>
      <c r="H106" s="106" t="n">
        <v>10</v>
      </c>
      <c r="I106" s="106" t="n">
        <v>8</v>
      </c>
      <c r="J106" s="188" t="n">
        <f aca="false">H106-I106</f>
        <v>2</v>
      </c>
      <c r="K106" s="106" t="n">
        <v>0</v>
      </c>
      <c r="L106" s="106" t="n">
        <f aca="false">K106-0</f>
        <v>0</v>
      </c>
      <c r="M106" s="189" t="n">
        <v>0.988</v>
      </c>
    </row>
    <row r="107" customFormat="false" ht="15" hidden="false" customHeight="false" outlineLevel="0" collapsed="false">
      <c r="A107" s="102" t="s">
        <v>516</v>
      </c>
      <c r="B107" s="177" t="s">
        <v>517</v>
      </c>
      <c r="C107" s="102" t="s">
        <v>12</v>
      </c>
      <c r="D107" s="177" t="s">
        <v>16</v>
      </c>
      <c r="E107" s="102" t="n">
        <v>15</v>
      </c>
      <c r="F107" s="102" t="n">
        <v>3</v>
      </c>
      <c r="G107" s="186" t="n">
        <f aca="false">E107-F107</f>
        <v>12</v>
      </c>
      <c r="H107" s="102" t="n">
        <v>10</v>
      </c>
      <c r="I107" s="102" t="n">
        <v>7</v>
      </c>
      <c r="J107" s="186" t="n">
        <f aca="false">H107-I107</f>
        <v>3</v>
      </c>
      <c r="K107" s="102" t="n">
        <v>0</v>
      </c>
      <c r="L107" s="102" t="n">
        <f aca="false">K107-0</f>
        <v>0</v>
      </c>
      <c r="M107" s="187" t="n">
        <v>0.933</v>
      </c>
    </row>
    <row r="108" customFormat="false" ht="15" hidden="false" customHeight="false" outlineLevel="0" collapsed="false">
      <c r="A108" s="106" t="s">
        <v>519</v>
      </c>
      <c r="B108" s="179" t="s">
        <v>520</v>
      </c>
      <c r="C108" s="106" t="s">
        <v>12</v>
      </c>
      <c r="D108" s="179" t="s">
        <v>16</v>
      </c>
      <c r="E108" s="106" t="n">
        <v>15</v>
      </c>
      <c r="F108" s="106" t="n">
        <v>7</v>
      </c>
      <c r="G108" s="188" t="n">
        <f aca="false">E108-F108</f>
        <v>8</v>
      </c>
      <c r="H108" s="106" t="n">
        <v>10</v>
      </c>
      <c r="I108" s="106" t="n">
        <v>0</v>
      </c>
      <c r="J108" s="188" t="n">
        <f aca="false">H108-I108</f>
        <v>10</v>
      </c>
      <c r="K108" s="106" t="n">
        <v>0</v>
      </c>
      <c r="L108" s="106" t="n">
        <f aca="false">K108-0</f>
        <v>0</v>
      </c>
      <c r="M108" s="189" t="n">
        <v>0.963</v>
      </c>
    </row>
    <row r="109" customFormat="false" ht="15" hidden="false" customHeight="false" outlineLevel="0" collapsed="false">
      <c r="A109" s="102" t="s">
        <v>96</v>
      </c>
      <c r="B109" s="177" t="s">
        <v>97</v>
      </c>
      <c r="C109" s="102" t="s">
        <v>12</v>
      </c>
      <c r="D109" s="177" t="s">
        <v>20</v>
      </c>
      <c r="E109" s="102" t="n">
        <v>15</v>
      </c>
      <c r="F109" s="102" t="n">
        <v>10</v>
      </c>
      <c r="G109" s="186" t="n">
        <f aca="false">E109-F109</f>
        <v>5</v>
      </c>
      <c r="H109" s="102" t="n">
        <v>10</v>
      </c>
      <c r="I109" s="102" t="n">
        <v>6</v>
      </c>
      <c r="J109" s="186" t="n">
        <f aca="false">H109-I109</f>
        <v>4</v>
      </c>
      <c r="K109" s="102" t="n">
        <v>0</v>
      </c>
      <c r="L109" s="102" t="n">
        <f aca="false">K109-0</f>
        <v>0</v>
      </c>
      <c r="M109" s="187" t="n">
        <v>0.928</v>
      </c>
    </row>
    <row r="110" customFormat="false" ht="15" hidden="false" customHeight="false" outlineLevel="0" collapsed="false">
      <c r="A110" s="106" t="s">
        <v>521</v>
      </c>
      <c r="B110" s="179" t="s">
        <v>522</v>
      </c>
      <c r="C110" s="106" t="s">
        <v>12</v>
      </c>
      <c r="D110" s="179" t="s">
        <v>20</v>
      </c>
      <c r="E110" s="106" t="n">
        <v>15</v>
      </c>
      <c r="F110" s="106" t="n">
        <v>2</v>
      </c>
      <c r="G110" s="188" t="n">
        <f aca="false">E110-F110</f>
        <v>13</v>
      </c>
      <c r="H110" s="106" t="n">
        <v>10</v>
      </c>
      <c r="I110" s="106" t="n">
        <v>8</v>
      </c>
      <c r="J110" s="188" t="n">
        <f aca="false">H110-I110</f>
        <v>2</v>
      </c>
      <c r="K110" s="106" t="n">
        <v>0</v>
      </c>
      <c r="L110" s="106" t="n">
        <f aca="false">K110-0</f>
        <v>0</v>
      </c>
      <c r="M110" s="189" t="n">
        <v>0.909</v>
      </c>
    </row>
    <row r="111" customFormat="false" ht="15" hidden="false" customHeight="false" outlineLevel="0" collapsed="false">
      <c r="A111" s="102" t="s">
        <v>523</v>
      </c>
      <c r="B111" s="177" t="s">
        <v>524</v>
      </c>
      <c r="C111" s="102" t="s">
        <v>12</v>
      </c>
      <c r="D111" s="177" t="s">
        <v>20</v>
      </c>
      <c r="E111" s="102" t="n">
        <v>15</v>
      </c>
      <c r="F111" s="102" t="n">
        <v>9</v>
      </c>
      <c r="G111" s="186" t="n">
        <f aca="false">E111-F111</f>
        <v>6</v>
      </c>
      <c r="H111" s="102" t="n">
        <v>10</v>
      </c>
      <c r="I111" s="102" t="n">
        <v>0</v>
      </c>
      <c r="J111" s="186" t="n">
        <f aca="false">H111-I111</f>
        <v>10</v>
      </c>
      <c r="K111" s="102" t="n">
        <v>0</v>
      </c>
      <c r="L111" s="102" t="n">
        <f aca="false">K111-0</f>
        <v>0</v>
      </c>
      <c r="M111" s="187" t="n">
        <v>0.916</v>
      </c>
    </row>
    <row r="112" customFormat="false" ht="15" hidden="false" customHeight="false" outlineLevel="0" collapsed="false">
      <c r="A112" s="106" t="s">
        <v>156</v>
      </c>
      <c r="B112" s="179" t="s">
        <v>157</v>
      </c>
      <c r="C112" s="106" t="s">
        <v>12</v>
      </c>
      <c r="D112" s="179" t="s">
        <v>20</v>
      </c>
      <c r="E112" s="106" t="n">
        <v>15</v>
      </c>
      <c r="F112" s="106" t="n">
        <v>2</v>
      </c>
      <c r="G112" s="188" t="n">
        <f aca="false">E112-F112</f>
        <v>13</v>
      </c>
      <c r="H112" s="106" t="n">
        <v>10</v>
      </c>
      <c r="I112" s="106" t="n">
        <v>7</v>
      </c>
      <c r="J112" s="188" t="n">
        <f aca="false">H112-I112</f>
        <v>3</v>
      </c>
      <c r="K112" s="106" t="n">
        <v>0</v>
      </c>
      <c r="L112" s="106" t="n">
        <f aca="false">K112-0</f>
        <v>0</v>
      </c>
      <c r="M112" s="189" t="n">
        <v>0.921</v>
      </c>
    </row>
    <row r="113" customFormat="false" ht="15" hidden="false" customHeight="false" outlineLevel="0" collapsed="false">
      <c r="A113" s="102" t="s">
        <v>525</v>
      </c>
      <c r="B113" s="177" t="s">
        <v>526</v>
      </c>
      <c r="C113" s="102" t="s">
        <v>12</v>
      </c>
      <c r="D113" s="177" t="s">
        <v>21</v>
      </c>
      <c r="E113" s="102" t="n">
        <v>15</v>
      </c>
      <c r="F113" s="102" t="n">
        <v>6</v>
      </c>
      <c r="G113" s="186" t="n">
        <f aca="false">E113-F113</f>
        <v>9</v>
      </c>
      <c r="H113" s="102" t="n">
        <v>10</v>
      </c>
      <c r="I113" s="102" t="n">
        <v>5</v>
      </c>
      <c r="J113" s="186" t="n">
        <f aca="false">H113-I113</f>
        <v>5</v>
      </c>
      <c r="K113" s="102" t="n">
        <v>0</v>
      </c>
      <c r="L113" s="102" t="n">
        <f aca="false">K113-0</f>
        <v>0</v>
      </c>
      <c r="M113" s="187" t="n">
        <v>0.935</v>
      </c>
    </row>
    <row r="114" customFormat="false" ht="15" hidden="false" customHeight="false" outlineLevel="0" collapsed="false">
      <c r="A114" s="106" t="s">
        <v>527</v>
      </c>
      <c r="B114" s="179" t="s">
        <v>528</v>
      </c>
      <c r="C114" s="106" t="s">
        <v>12</v>
      </c>
      <c r="D114" s="179" t="s">
        <v>21</v>
      </c>
      <c r="E114" s="106" t="n">
        <v>15</v>
      </c>
      <c r="F114" s="106" t="n">
        <v>5</v>
      </c>
      <c r="G114" s="188" t="n">
        <f aca="false">E114-F114</f>
        <v>10</v>
      </c>
      <c r="H114" s="106" t="n">
        <v>10</v>
      </c>
      <c r="I114" s="106" t="n">
        <v>6</v>
      </c>
      <c r="J114" s="188" t="n">
        <f aca="false">H114-I114</f>
        <v>4</v>
      </c>
      <c r="K114" s="106" t="n">
        <v>0</v>
      </c>
      <c r="L114" s="106" t="n">
        <f aca="false">K114-0</f>
        <v>0</v>
      </c>
      <c r="M114" s="189" t="n">
        <v>0.948</v>
      </c>
    </row>
    <row r="115" customFormat="false" ht="15" hidden="false" customHeight="false" outlineLevel="0" collapsed="false">
      <c r="A115" s="102" t="s">
        <v>529</v>
      </c>
      <c r="B115" s="177" t="s">
        <v>530</v>
      </c>
      <c r="C115" s="102" t="s">
        <v>12</v>
      </c>
      <c r="D115" s="177" t="s">
        <v>22</v>
      </c>
      <c r="E115" s="102" t="n">
        <v>15</v>
      </c>
      <c r="F115" s="102" t="n">
        <v>6</v>
      </c>
      <c r="G115" s="186" t="n">
        <f aca="false">E115-F115</f>
        <v>9</v>
      </c>
      <c r="H115" s="102" t="n">
        <v>10</v>
      </c>
      <c r="I115" s="102" t="n">
        <v>4</v>
      </c>
      <c r="J115" s="186" t="n">
        <f aca="false">H115-I115</f>
        <v>6</v>
      </c>
      <c r="K115" s="102" t="n">
        <v>0</v>
      </c>
      <c r="L115" s="102" t="n">
        <f aca="false">K115-0</f>
        <v>0</v>
      </c>
      <c r="M115" s="187" t="n">
        <v>0.915</v>
      </c>
    </row>
    <row r="116" customFormat="false" ht="15" hidden="false" customHeight="false" outlineLevel="0" collapsed="false">
      <c r="A116" s="106" t="s">
        <v>531</v>
      </c>
      <c r="B116" s="179" t="s">
        <v>532</v>
      </c>
      <c r="C116" s="106" t="s">
        <v>12</v>
      </c>
      <c r="D116" s="179" t="s">
        <v>22</v>
      </c>
      <c r="E116" s="106" t="n">
        <v>15</v>
      </c>
      <c r="F116" s="106" t="n">
        <v>11</v>
      </c>
      <c r="G116" s="188" t="n">
        <f aca="false">E116-F116</f>
        <v>4</v>
      </c>
      <c r="H116" s="106" t="n">
        <v>10</v>
      </c>
      <c r="I116" s="106" t="n">
        <v>8</v>
      </c>
      <c r="J116" s="188" t="n">
        <f aca="false">H116-I116</f>
        <v>2</v>
      </c>
      <c r="K116" s="106" t="n">
        <v>0</v>
      </c>
      <c r="L116" s="106" t="n">
        <f aca="false">K116-0</f>
        <v>0</v>
      </c>
      <c r="M116" s="189" t="n">
        <v>0.91</v>
      </c>
    </row>
    <row r="117" customFormat="false" ht="15" hidden="false" customHeight="false" outlineLevel="0" collapsed="false">
      <c r="A117" s="102" t="s">
        <v>533</v>
      </c>
      <c r="B117" s="177" t="s">
        <v>534</v>
      </c>
      <c r="C117" s="102" t="s">
        <v>12</v>
      </c>
      <c r="D117" s="177" t="s">
        <v>22</v>
      </c>
      <c r="E117" s="102" t="n">
        <v>15</v>
      </c>
      <c r="F117" s="102" t="n">
        <v>5</v>
      </c>
      <c r="G117" s="186" t="n">
        <f aca="false">E117-F117</f>
        <v>10</v>
      </c>
      <c r="H117" s="102" t="n">
        <v>10</v>
      </c>
      <c r="I117" s="102" t="n">
        <v>3</v>
      </c>
      <c r="J117" s="186" t="n">
        <f aca="false">H117-I117</f>
        <v>7</v>
      </c>
      <c r="K117" s="102" t="n">
        <v>0</v>
      </c>
      <c r="L117" s="102" t="n">
        <f aca="false">K117-0</f>
        <v>0</v>
      </c>
      <c r="M117" s="187" t="n">
        <v>0.918</v>
      </c>
    </row>
    <row r="118" customFormat="false" ht="15" hidden="false" customHeight="false" outlineLevel="0" collapsed="false">
      <c r="A118" s="106" t="s">
        <v>535</v>
      </c>
      <c r="B118" s="179" t="s">
        <v>536</v>
      </c>
      <c r="C118" s="106" t="s">
        <v>12</v>
      </c>
      <c r="D118" s="179" t="s">
        <v>22</v>
      </c>
      <c r="E118" s="106" t="n">
        <v>15</v>
      </c>
      <c r="F118" s="106" t="n">
        <v>10</v>
      </c>
      <c r="G118" s="188" t="n">
        <f aca="false">E118-F118</f>
        <v>5</v>
      </c>
      <c r="H118" s="106" t="n">
        <v>10</v>
      </c>
      <c r="I118" s="106" t="n">
        <v>0</v>
      </c>
      <c r="J118" s="188" t="n">
        <f aca="false">H118-I118</f>
        <v>10</v>
      </c>
      <c r="K118" s="106" t="n">
        <v>0</v>
      </c>
      <c r="L118" s="106" t="n">
        <f aca="false">K118-0</f>
        <v>0</v>
      </c>
      <c r="M118" s="189" t="n">
        <v>0.909</v>
      </c>
    </row>
    <row r="119" customFormat="false" ht="15" hidden="false" customHeight="false" outlineLevel="0" collapsed="false">
      <c r="A119" s="102" t="s">
        <v>537</v>
      </c>
      <c r="B119" s="177" t="s">
        <v>538</v>
      </c>
      <c r="C119" s="102" t="s">
        <v>12</v>
      </c>
      <c r="D119" s="177" t="s">
        <v>23</v>
      </c>
      <c r="E119" s="102" t="n">
        <v>15</v>
      </c>
      <c r="F119" s="102" t="n">
        <v>3</v>
      </c>
      <c r="G119" s="186" t="n">
        <f aca="false">E119-F119</f>
        <v>12</v>
      </c>
      <c r="H119" s="102" t="n">
        <v>10</v>
      </c>
      <c r="I119" s="102" t="n">
        <v>0</v>
      </c>
      <c r="J119" s="186" t="n">
        <f aca="false">H119-I119</f>
        <v>10</v>
      </c>
      <c r="K119" s="102" t="n">
        <v>0</v>
      </c>
      <c r="L119" s="102" t="n">
        <f aca="false">K119-0</f>
        <v>0</v>
      </c>
      <c r="M119" s="187" t="n">
        <v>0.992</v>
      </c>
    </row>
    <row r="120" customFormat="false" ht="15" hidden="false" customHeight="false" outlineLevel="0" collapsed="false">
      <c r="A120" s="106" t="s">
        <v>539</v>
      </c>
      <c r="B120" s="179" t="s">
        <v>540</v>
      </c>
      <c r="C120" s="106" t="s">
        <v>12</v>
      </c>
      <c r="D120" s="179" t="s">
        <v>23</v>
      </c>
      <c r="E120" s="106" t="n">
        <v>15</v>
      </c>
      <c r="F120" s="106" t="n">
        <v>2</v>
      </c>
      <c r="G120" s="188" t="n">
        <f aca="false">E120-F120</f>
        <v>13</v>
      </c>
      <c r="H120" s="106" t="n">
        <v>10</v>
      </c>
      <c r="I120" s="106" t="n">
        <v>7</v>
      </c>
      <c r="J120" s="188" t="n">
        <f aca="false">H120-I120</f>
        <v>3</v>
      </c>
      <c r="K120" s="106" t="n">
        <v>0</v>
      </c>
      <c r="L120" s="106" t="n">
        <f aca="false">K120-0</f>
        <v>0</v>
      </c>
      <c r="M120" s="189" t="n">
        <v>0.916</v>
      </c>
    </row>
  </sheetData>
  <mergeCells count="2">
    <mergeCell ref="A1:M1"/>
    <mergeCell ref="A2:M2"/>
  </mergeCells>
  <conditionalFormatting sqref="G5:G120">
    <cfRule type="cellIs" priority="2" operator="lessThan" aboveAverage="0" equalAverage="0" bottom="0" percent="0" rank="0" text="" dxfId="23">
      <formula>3</formula>
    </cfRule>
    <cfRule type="cellIs" priority="3" operator="between" aboveAverage="0" equalAverage="0" bottom="0" percent="0" rank="0" text="" dxfId="24">
      <formula>3</formula>
      <formula>6</formula>
    </cfRule>
  </conditionalFormatting>
  <conditionalFormatting sqref="J5:J120">
    <cfRule type="cellIs" priority="4" operator="lessThan" aboveAverage="0" equalAverage="0" bottom="0" percent="0" rank="0" text="" dxfId="23">
      <formula>3</formula>
    </cfRule>
    <cfRule type="cellIs" priority="5" operator="between" aboveAverage="0" equalAverage="0" bottom="0" percent="0" rank="0" text="" dxfId="24">
      <formula>3</formula>
      <formula>6</formula>
    </cfRule>
  </conditionalFormatting>
  <conditionalFormatting sqref="M5:M120">
    <cfRule type="dataBar" priority="6">
      <dataBar showValue="1" minLength="10" maxLength="90">
        <cfvo type="min" val="0"/>
        <cfvo type="max" val="0"/>
        <color rgb="FF2EBFA5"/>
      </dataBar>
      <extLst>
        <ext xmlns:x14="http://schemas.microsoft.com/office/spreadsheetml/2009/9/main" uri="{B025F937-C7B1-47D3-B67F-A62EFF666E3E}">
          <x14:id>{C68FD916-3271-4032-A594-3B58C8709046}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8FD916-3271-4032-A594-3B58C8709046}">
            <x14:dataBar minLength="10" maxLength="90" axisPosition="none" gradient="true">
              <x14:cfvo type="min"/>
              <x14:cfvo type="max"/>
              <x14:negativeFillColor rgb="FF2EBFA5"/>
              <x14:axisColor rgb="FF000000"/>
            </x14:dataBar>
          </x14:cfRule>
          <xm:sqref>M5:M120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K3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8" min="7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74" t="s">
        <v>568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customFormat="false" ht="18" hidden="false" customHeight="true" outlineLevel="0" collapsed="false">
      <c r="A2" s="175" t="s">
        <v>569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</row>
    <row r="4" customFormat="false" ht="30" hidden="false" customHeight="true" outlineLevel="0" collapsed="false">
      <c r="A4" s="176" t="s">
        <v>570</v>
      </c>
      <c r="B4" s="176" t="s">
        <v>50</v>
      </c>
      <c r="C4" s="176" t="s">
        <v>51</v>
      </c>
      <c r="D4" s="176" t="s">
        <v>543</v>
      </c>
      <c r="E4" s="176" t="s">
        <v>52</v>
      </c>
      <c r="F4" s="176" t="s">
        <v>571</v>
      </c>
      <c r="G4" s="176" t="s">
        <v>572</v>
      </c>
      <c r="H4" s="176" t="s">
        <v>573</v>
      </c>
      <c r="I4" s="176" t="s">
        <v>574</v>
      </c>
      <c r="J4" s="176" t="s">
        <v>575</v>
      </c>
      <c r="K4" s="176" t="s">
        <v>107</v>
      </c>
    </row>
    <row r="5" customFormat="false" ht="15" hidden="false" customHeight="false" outlineLevel="0" collapsed="false">
      <c r="A5" s="102" t="s">
        <v>576</v>
      </c>
      <c r="B5" s="102" t="s">
        <v>291</v>
      </c>
      <c r="C5" s="177" t="s">
        <v>292</v>
      </c>
      <c r="D5" s="102" t="s">
        <v>11</v>
      </c>
      <c r="E5" s="177" t="s">
        <v>15</v>
      </c>
      <c r="F5" s="177" t="s">
        <v>577</v>
      </c>
      <c r="G5" s="102" t="n">
        <v>20</v>
      </c>
      <c r="H5" s="102" t="n">
        <v>18</v>
      </c>
      <c r="I5" s="190" t="n">
        <f aca="false">IFERROR(H5/G5,0)</f>
        <v>0.9</v>
      </c>
      <c r="J5" s="186" t="n">
        <f aca="false">IF(I5&gt;=0.95,5,IF(I5&gt;=0.8,4,IF(I5&gt;=0.65,3,IF(I5&gt;=0.5,2,1))))</f>
        <v>4</v>
      </c>
      <c r="K5" s="102" t="s">
        <v>578</v>
      </c>
    </row>
    <row r="6" customFormat="false" ht="15" hidden="false" customHeight="false" outlineLevel="0" collapsed="false">
      <c r="A6" s="106" t="s">
        <v>579</v>
      </c>
      <c r="B6" s="106" t="s">
        <v>291</v>
      </c>
      <c r="C6" s="179" t="s">
        <v>292</v>
      </c>
      <c r="D6" s="106" t="s">
        <v>11</v>
      </c>
      <c r="E6" s="179" t="s">
        <v>15</v>
      </c>
      <c r="F6" s="179" t="s">
        <v>580</v>
      </c>
      <c r="G6" s="106" t="n">
        <v>5</v>
      </c>
      <c r="H6" s="106" t="n">
        <v>2</v>
      </c>
      <c r="I6" s="191" t="n">
        <f aca="false">IFERROR(H6/G6,0)</f>
        <v>0.4</v>
      </c>
      <c r="J6" s="188" t="n">
        <f aca="false">IF(I6&gt;=0.95,5,IF(I6&gt;=0.8,4,IF(I6&gt;=0.65,3,IF(I6&gt;=0.5,2,1))))</f>
        <v>1</v>
      </c>
      <c r="K6" s="106" t="s">
        <v>581</v>
      </c>
    </row>
    <row r="7" customFormat="false" ht="15" hidden="false" customHeight="false" outlineLevel="0" collapsed="false">
      <c r="A7" s="102" t="s">
        <v>582</v>
      </c>
      <c r="B7" s="102" t="s">
        <v>296</v>
      </c>
      <c r="C7" s="177" t="s">
        <v>297</v>
      </c>
      <c r="D7" s="102" t="s">
        <v>11</v>
      </c>
      <c r="E7" s="177" t="s">
        <v>16</v>
      </c>
      <c r="F7" s="177" t="s">
        <v>583</v>
      </c>
      <c r="G7" s="102" t="n">
        <v>10</v>
      </c>
      <c r="H7" s="102" t="n">
        <v>9</v>
      </c>
      <c r="I7" s="190" t="n">
        <f aca="false">IFERROR(H7/G7,0)</f>
        <v>0.9</v>
      </c>
      <c r="J7" s="186" t="n">
        <f aca="false">IF(I7&gt;=0.95,5,IF(I7&gt;=0.8,4,IF(I7&gt;=0.65,3,IF(I7&gt;=0.5,2,1))))</f>
        <v>4</v>
      </c>
      <c r="K7" s="102" t="s">
        <v>578</v>
      </c>
    </row>
    <row r="8" customFormat="false" ht="15" hidden="false" customHeight="false" outlineLevel="0" collapsed="false">
      <c r="A8" s="106" t="s">
        <v>584</v>
      </c>
      <c r="B8" s="106" t="s">
        <v>296</v>
      </c>
      <c r="C8" s="179" t="s">
        <v>297</v>
      </c>
      <c r="D8" s="106" t="s">
        <v>11</v>
      </c>
      <c r="E8" s="179" t="s">
        <v>16</v>
      </c>
      <c r="F8" s="179" t="s">
        <v>580</v>
      </c>
      <c r="G8" s="106" t="n">
        <v>4</v>
      </c>
      <c r="H8" s="106" t="n">
        <v>2.8</v>
      </c>
      <c r="I8" s="191" t="n">
        <f aca="false">IFERROR(H8/G8,0)</f>
        <v>0.7</v>
      </c>
      <c r="J8" s="188" t="n">
        <f aca="false">IF(I8&gt;=0.95,5,IF(I8&gt;=0.8,4,IF(I8&gt;=0.65,3,IF(I8&gt;=0.5,2,1))))</f>
        <v>3</v>
      </c>
      <c r="K8" s="106" t="s">
        <v>578</v>
      </c>
    </row>
    <row r="9" customFormat="false" ht="15" hidden="false" customHeight="false" outlineLevel="0" collapsed="false">
      <c r="A9" s="102" t="s">
        <v>585</v>
      </c>
      <c r="B9" s="102" t="s">
        <v>296</v>
      </c>
      <c r="C9" s="177" t="s">
        <v>297</v>
      </c>
      <c r="D9" s="102" t="s">
        <v>11</v>
      </c>
      <c r="E9" s="177" t="s">
        <v>16</v>
      </c>
      <c r="F9" s="177" t="s">
        <v>586</v>
      </c>
      <c r="G9" s="102" t="n">
        <v>4</v>
      </c>
      <c r="H9" s="102" t="n">
        <v>2.8</v>
      </c>
      <c r="I9" s="190" t="n">
        <f aca="false">IFERROR(H9/G9,0)</f>
        <v>0.7</v>
      </c>
      <c r="J9" s="186" t="n">
        <f aca="false">IF(I9&gt;=0.95,5,IF(I9&gt;=0.8,4,IF(I9&gt;=0.65,3,IF(I9&gt;=0.5,2,1))))</f>
        <v>3</v>
      </c>
      <c r="K9" s="102" t="s">
        <v>578</v>
      </c>
    </row>
    <row r="10" customFormat="false" ht="15" hidden="false" customHeight="false" outlineLevel="0" collapsed="false">
      <c r="A10" s="106" t="s">
        <v>587</v>
      </c>
      <c r="B10" s="106" t="s">
        <v>296</v>
      </c>
      <c r="C10" s="179" t="s">
        <v>297</v>
      </c>
      <c r="D10" s="106" t="s">
        <v>11</v>
      </c>
      <c r="E10" s="179" t="s">
        <v>16</v>
      </c>
      <c r="F10" s="179" t="s">
        <v>588</v>
      </c>
      <c r="G10" s="106" t="n">
        <v>95</v>
      </c>
      <c r="H10" s="106" t="n">
        <v>76</v>
      </c>
      <c r="I10" s="191" t="n">
        <f aca="false">IFERROR(H10/G10,0)</f>
        <v>0.8</v>
      </c>
      <c r="J10" s="188" t="n">
        <f aca="false">IF(I10&gt;=0.95,5,IF(I10&gt;=0.8,4,IF(I10&gt;=0.65,3,IF(I10&gt;=0.5,2,1))))</f>
        <v>4</v>
      </c>
      <c r="K10" s="106" t="s">
        <v>578</v>
      </c>
    </row>
    <row r="11" customFormat="false" ht="15" hidden="false" customHeight="false" outlineLevel="0" collapsed="false">
      <c r="A11" s="102" t="s">
        <v>589</v>
      </c>
      <c r="B11" s="102" t="s">
        <v>300</v>
      </c>
      <c r="C11" s="177" t="s">
        <v>109</v>
      </c>
      <c r="D11" s="102" t="s">
        <v>11</v>
      </c>
      <c r="E11" s="177" t="s">
        <v>20</v>
      </c>
      <c r="F11" s="177" t="s">
        <v>590</v>
      </c>
      <c r="G11" s="102" t="n">
        <v>3</v>
      </c>
      <c r="H11" s="102" t="n">
        <v>1.8</v>
      </c>
      <c r="I11" s="190" t="n">
        <f aca="false">IFERROR(H11/G11,0)</f>
        <v>0.6</v>
      </c>
      <c r="J11" s="186" t="n">
        <f aca="false">IF(I11&gt;=0.95,5,IF(I11&gt;=0.8,4,IF(I11&gt;=0.65,3,IF(I11&gt;=0.5,2,1))))</f>
        <v>2</v>
      </c>
      <c r="K11" s="102" t="s">
        <v>581</v>
      </c>
    </row>
    <row r="12" customFormat="false" ht="15" hidden="false" customHeight="false" outlineLevel="0" collapsed="false">
      <c r="A12" s="106" t="s">
        <v>591</v>
      </c>
      <c r="B12" s="106" t="s">
        <v>300</v>
      </c>
      <c r="C12" s="179" t="s">
        <v>109</v>
      </c>
      <c r="D12" s="106" t="s">
        <v>11</v>
      </c>
      <c r="E12" s="179" t="s">
        <v>20</v>
      </c>
      <c r="F12" s="179" t="s">
        <v>592</v>
      </c>
      <c r="G12" s="106" t="n">
        <v>4</v>
      </c>
      <c r="H12" s="106" t="n">
        <v>3.2</v>
      </c>
      <c r="I12" s="191" t="n">
        <f aca="false">IFERROR(H12/G12,0)</f>
        <v>0.8</v>
      </c>
      <c r="J12" s="188" t="n">
        <f aca="false">IF(I12&gt;=0.95,5,IF(I12&gt;=0.8,4,IF(I12&gt;=0.65,3,IF(I12&gt;=0.5,2,1))))</f>
        <v>4</v>
      </c>
      <c r="K12" s="106" t="s">
        <v>578</v>
      </c>
    </row>
    <row r="13" customFormat="false" ht="15" hidden="false" customHeight="false" outlineLevel="0" collapsed="false">
      <c r="A13" s="102" t="s">
        <v>593</v>
      </c>
      <c r="B13" s="102" t="s">
        <v>303</v>
      </c>
      <c r="C13" s="177" t="s">
        <v>304</v>
      </c>
      <c r="D13" s="102" t="s">
        <v>11</v>
      </c>
      <c r="E13" s="177" t="s">
        <v>21</v>
      </c>
      <c r="F13" s="177" t="s">
        <v>577</v>
      </c>
      <c r="G13" s="102" t="n">
        <v>10</v>
      </c>
      <c r="H13" s="102" t="n">
        <v>8</v>
      </c>
      <c r="I13" s="190" t="n">
        <f aca="false">IFERROR(H13/G13,0)</f>
        <v>0.8</v>
      </c>
      <c r="J13" s="186" t="n">
        <f aca="false">IF(I13&gt;=0.95,5,IF(I13&gt;=0.8,4,IF(I13&gt;=0.65,3,IF(I13&gt;=0.5,2,1))))</f>
        <v>4</v>
      </c>
      <c r="K13" s="102" t="s">
        <v>578</v>
      </c>
    </row>
    <row r="14" customFormat="false" ht="15" hidden="false" customHeight="false" outlineLevel="0" collapsed="false">
      <c r="A14" s="106" t="s">
        <v>594</v>
      </c>
      <c r="B14" s="106" t="s">
        <v>303</v>
      </c>
      <c r="C14" s="179" t="s">
        <v>304</v>
      </c>
      <c r="D14" s="106" t="s">
        <v>11</v>
      </c>
      <c r="E14" s="179" t="s">
        <v>21</v>
      </c>
      <c r="F14" s="179" t="s">
        <v>595</v>
      </c>
      <c r="G14" s="106" t="n">
        <v>5</v>
      </c>
      <c r="H14" s="106" t="n">
        <v>3</v>
      </c>
      <c r="I14" s="191" t="n">
        <f aca="false">IFERROR(H14/G14,0)</f>
        <v>0.6</v>
      </c>
      <c r="J14" s="188" t="n">
        <f aca="false">IF(I14&gt;=0.95,5,IF(I14&gt;=0.8,4,IF(I14&gt;=0.65,3,IF(I14&gt;=0.5,2,1))))</f>
        <v>2</v>
      </c>
      <c r="K14" s="106" t="s">
        <v>581</v>
      </c>
    </row>
    <row r="15" customFormat="false" ht="15" hidden="false" customHeight="false" outlineLevel="0" collapsed="false">
      <c r="A15" s="102" t="s">
        <v>596</v>
      </c>
      <c r="B15" s="102" t="s">
        <v>303</v>
      </c>
      <c r="C15" s="177" t="s">
        <v>304</v>
      </c>
      <c r="D15" s="102" t="s">
        <v>11</v>
      </c>
      <c r="E15" s="177" t="s">
        <v>21</v>
      </c>
      <c r="F15" s="177" t="s">
        <v>586</v>
      </c>
      <c r="G15" s="102" t="n">
        <v>10</v>
      </c>
      <c r="H15" s="102" t="n">
        <v>8</v>
      </c>
      <c r="I15" s="190" t="n">
        <f aca="false">IFERROR(H15/G15,0)</f>
        <v>0.8</v>
      </c>
      <c r="J15" s="186" t="n">
        <f aca="false">IF(I15&gt;=0.95,5,IF(I15&gt;=0.8,4,IF(I15&gt;=0.65,3,IF(I15&gt;=0.5,2,1))))</f>
        <v>4</v>
      </c>
      <c r="K15" s="102" t="s">
        <v>578</v>
      </c>
    </row>
    <row r="16" customFormat="false" ht="15" hidden="false" customHeight="false" outlineLevel="0" collapsed="false">
      <c r="A16" s="106" t="s">
        <v>597</v>
      </c>
      <c r="B16" s="106" t="s">
        <v>303</v>
      </c>
      <c r="C16" s="179" t="s">
        <v>304</v>
      </c>
      <c r="D16" s="106" t="s">
        <v>11</v>
      </c>
      <c r="E16" s="179" t="s">
        <v>21</v>
      </c>
      <c r="F16" s="179" t="s">
        <v>598</v>
      </c>
      <c r="G16" s="106" t="n">
        <v>8</v>
      </c>
      <c r="H16" s="106" t="n">
        <v>4.8</v>
      </c>
      <c r="I16" s="191" t="n">
        <f aca="false">IFERROR(H16/G16,0)</f>
        <v>0.6</v>
      </c>
      <c r="J16" s="188" t="n">
        <f aca="false">IF(I16&gt;=0.95,5,IF(I16&gt;=0.8,4,IF(I16&gt;=0.65,3,IF(I16&gt;=0.5,2,1))))</f>
        <v>2</v>
      </c>
      <c r="K16" s="106" t="s">
        <v>581</v>
      </c>
    </row>
    <row r="17" customFormat="false" ht="15" hidden="false" customHeight="false" outlineLevel="0" collapsed="false">
      <c r="A17" s="102" t="s">
        <v>599</v>
      </c>
      <c r="B17" s="102" t="s">
        <v>307</v>
      </c>
      <c r="C17" s="177" t="s">
        <v>308</v>
      </c>
      <c r="D17" s="102" t="s">
        <v>11</v>
      </c>
      <c r="E17" s="177" t="s">
        <v>22</v>
      </c>
      <c r="F17" s="177" t="s">
        <v>577</v>
      </c>
      <c r="G17" s="102" t="n">
        <v>5</v>
      </c>
      <c r="H17" s="102" t="n">
        <v>4</v>
      </c>
      <c r="I17" s="190" t="n">
        <f aca="false">IFERROR(H17/G17,0)</f>
        <v>0.8</v>
      </c>
      <c r="J17" s="186" t="n">
        <f aca="false">IF(I17&gt;=0.95,5,IF(I17&gt;=0.8,4,IF(I17&gt;=0.65,3,IF(I17&gt;=0.5,2,1))))</f>
        <v>4</v>
      </c>
      <c r="K17" s="102" t="s">
        <v>578</v>
      </c>
    </row>
    <row r="18" customFormat="false" ht="15" hidden="false" customHeight="false" outlineLevel="0" collapsed="false">
      <c r="A18" s="106" t="s">
        <v>600</v>
      </c>
      <c r="B18" s="106" t="s">
        <v>307</v>
      </c>
      <c r="C18" s="179" t="s">
        <v>308</v>
      </c>
      <c r="D18" s="106" t="s">
        <v>11</v>
      </c>
      <c r="E18" s="179" t="s">
        <v>22</v>
      </c>
      <c r="F18" s="179" t="s">
        <v>588</v>
      </c>
      <c r="G18" s="106" t="n">
        <v>95</v>
      </c>
      <c r="H18" s="106" t="n">
        <v>95</v>
      </c>
      <c r="I18" s="191" t="n">
        <f aca="false">IFERROR(H18/G18,0)</f>
        <v>1</v>
      </c>
      <c r="J18" s="188" t="n">
        <f aca="false">IF(I18&gt;=0.95,5,IF(I18&gt;=0.8,4,IF(I18&gt;=0.65,3,IF(I18&gt;=0.5,2,1))))</f>
        <v>5</v>
      </c>
      <c r="K18" s="106" t="s">
        <v>601</v>
      </c>
    </row>
    <row r="19" customFormat="false" ht="15" hidden="false" customHeight="false" outlineLevel="0" collapsed="false">
      <c r="A19" s="102" t="s">
        <v>602</v>
      </c>
      <c r="B19" s="102" t="s">
        <v>307</v>
      </c>
      <c r="C19" s="177" t="s">
        <v>308</v>
      </c>
      <c r="D19" s="102" t="s">
        <v>11</v>
      </c>
      <c r="E19" s="177" t="s">
        <v>22</v>
      </c>
      <c r="F19" s="177" t="s">
        <v>603</v>
      </c>
      <c r="G19" s="102" t="n">
        <v>90</v>
      </c>
      <c r="H19" s="102" t="n">
        <v>72</v>
      </c>
      <c r="I19" s="190" t="n">
        <f aca="false">IFERROR(H19/G19,0)</f>
        <v>0.8</v>
      </c>
      <c r="J19" s="186" t="n">
        <f aca="false">IF(I19&gt;=0.95,5,IF(I19&gt;=0.8,4,IF(I19&gt;=0.65,3,IF(I19&gt;=0.5,2,1))))</f>
        <v>4</v>
      </c>
      <c r="K19" s="102" t="s">
        <v>578</v>
      </c>
    </row>
    <row r="20" customFormat="false" ht="15" hidden="false" customHeight="false" outlineLevel="0" collapsed="false">
      <c r="A20" s="106" t="s">
        <v>604</v>
      </c>
      <c r="B20" s="106" t="s">
        <v>311</v>
      </c>
      <c r="C20" s="179" t="s">
        <v>312</v>
      </c>
      <c r="D20" s="106" t="s">
        <v>11</v>
      </c>
      <c r="E20" s="179" t="s">
        <v>23</v>
      </c>
      <c r="F20" s="179" t="s">
        <v>592</v>
      </c>
      <c r="G20" s="106" t="n">
        <v>3</v>
      </c>
      <c r="H20" s="106" t="n">
        <v>2.4</v>
      </c>
      <c r="I20" s="191" t="n">
        <f aca="false">IFERROR(H20/G20,0)</f>
        <v>0.8</v>
      </c>
      <c r="J20" s="188" t="n">
        <f aca="false">IF(I20&gt;=0.95,5,IF(I20&gt;=0.8,4,IF(I20&gt;=0.65,3,IF(I20&gt;=0.5,2,1))))</f>
        <v>4</v>
      </c>
      <c r="K20" s="106" t="s">
        <v>578</v>
      </c>
    </row>
    <row r="21" customFormat="false" ht="15" hidden="false" customHeight="false" outlineLevel="0" collapsed="false">
      <c r="A21" s="102" t="s">
        <v>605</v>
      </c>
      <c r="B21" s="102" t="s">
        <v>311</v>
      </c>
      <c r="C21" s="177" t="s">
        <v>312</v>
      </c>
      <c r="D21" s="102" t="s">
        <v>11</v>
      </c>
      <c r="E21" s="177" t="s">
        <v>23</v>
      </c>
      <c r="F21" s="177" t="s">
        <v>580</v>
      </c>
      <c r="G21" s="102" t="n">
        <v>4</v>
      </c>
      <c r="H21" s="102" t="n">
        <v>3.6</v>
      </c>
      <c r="I21" s="190" t="n">
        <f aca="false">IFERROR(H21/G21,0)</f>
        <v>0.9</v>
      </c>
      <c r="J21" s="186" t="n">
        <f aca="false">IF(I21&gt;=0.95,5,IF(I21&gt;=0.8,4,IF(I21&gt;=0.65,3,IF(I21&gt;=0.5,2,1))))</f>
        <v>4</v>
      </c>
      <c r="K21" s="102" t="s">
        <v>578</v>
      </c>
    </row>
    <row r="22" customFormat="false" ht="15" hidden="false" customHeight="false" outlineLevel="0" collapsed="false">
      <c r="A22" s="106" t="s">
        <v>606</v>
      </c>
      <c r="B22" s="106" t="s">
        <v>311</v>
      </c>
      <c r="C22" s="179" t="s">
        <v>312</v>
      </c>
      <c r="D22" s="106" t="s">
        <v>11</v>
      </c>
      <c r="E22" s="179" t="s">
        <v>23</v>
      </c>
      <c r="F22" s="179" t="s">
        <v>590</v>
      </c>
      <c r="G22" s="106" t="n">
        <v>10</v>
      </c>
      <c r="H22" s="106" t="n">
        <v>8</v>
      </c>
      <c r="I22" s="191" t="n">
        <f aca="false">IFERROR(H22/G22,0)</f>
        <v>0.8</v>
      </c>
      <c r="J22" s="188" t="n">
        <f aca="false">IF(I22&gt;=0.95,5,IF(I22&gt;=0.8,4,IF(I22&gt;=0.65,3,IF(I22&gt;=0.5,2,1))))</f>
        <v>4</v>
      </c>
      <c r="K22" s="106" t="s">
        <v>578</v>
      </c>
    </row>
    <row r="23" customFormat="false" ht="15" hidden="false" customHeight="false" outlineLevel="0" collapsed="false">
      <c r="A23" s="102" t="s">
        <v>607</v>
      </c>
      <c r="B23" s="102" t="s">
        <v>315</v>
      </c>
      <c r="C23" s="177" t="s">
        <v>316</v>
      </c>
      <c r="D23" s="102" t="s">
        <v>11</v>
      </c>
      <c r="E23" s="177" t="s">
        <v>24</v>
      </c>
      <c r="F23" s="177" t="s">
        <v>577</v>
      </c>
      <c r="G23" s="102" t="n">
        <v>80</v>
      </c>
      <c r="H23" s="102" t="n">
        <v>80</v>
      </c>
      <c r="I23" s="190" t="n">
        <f aca="false">IFERROR(H23/G23,0)</f>
        <v>1</v>
      </c>
      <c r="J23" s="186" t="n">
        <f aca="false">IF(I23&gt;=0.95,5,IF(I23&gt;=0.8,4,IF(I23&gt;=0.65,3,IF(I23&gt;=0.5,2,1))))</f>
        <v>5</v>
      </c>
      <c r="K23" s="102" t="s">
        <v>601</v>
      </c>
    </row>
    <row r="24" customFormat="false" ht="15" hidden="false" customHeight="false" outlineLevel="0" collapsed="false">
      <c r="A24" s="106" t="s">
        <v>608</v>
      </c>
      <c r="B24" s="106" t="s">
        <v>315</v>
      </c>
      <c r="C24" s="179" t="s">
        <v>316</v>
      </c>
      <c r="D24" s="106" t="s">
        <v>11</v>
      </c>
      <c r="E24" s="179" t="s">
        <v>24</v>
      </c>
      <c r="F24" s="179" t="s">
        <v>603</v>
      </c>
      <c r="G24" s="106" t="n">
        <v>100</v>
      </c>
      <c r="H24" s="106" t="n">
        <v>70</v>
      </c>
      <c r="I24" s="191" t="n">
        <f aca="false">IFERROR(H24/G24,0)</f>
        <v>0.7</v>
      </c>
      <c r="J24" s="188" t="n">
        <f aca="false">IF(I24&gt;=0.95,5,IF(I24&gt;=0.8,4,IF(I24&gt;=0.65,3,IF(I24&gt;=0.5,2,1))))</f>
        <v>3</v>
      </c>
      <c r="K24" s="106" t="s">
        <v>578</v>
      </c>
    </row>
    <row r="25" customFormat="false" ht="15" hidden="false" customHeight="false" outlineLevel="0" collapsed="false">
      <c r="A25" s="102" t="s">
        <v>609</v>
      </c>
      <c r="B25" s="102" t="s">
        <v>315</v>
      </c>
      <c r="C25" s="177" t="s">
        <v>316</v>
      </c>
      <c r="D25" s="102" t="s">
        <v>11</v>
      </c>
      <c r="E25" s="177" t="s">
        <v>24</v>
      </c>
      <c r="F25" s="177" t="s">
        <v>590</v>
      </c>
      <c r="G25" s="102" t="n">
        <v>8</v>
      </c>
      <c r="H25" s="102" t="n">
        <v>6.4</v>
      </c>
      <c r="I25" s="190" t="n">
        <f aca="false">IFERROR(H25/G25,0)</f>
        <v>0.8</v>
      </c>
      <c r="J25" s="186" t="n">
        <f aca="false">IF(I25&gt;=0.95,5,IF(I25&gt;=0.8,4,IF(I25&gt;=0.65,3,IF(I25&gt;=0.5,2,1))))</f>
        <v>4</v>
      </c>
      <c r="K25" s="102" t="s">
        <v>578</v>
      </c>
    </row>
    <row r="26" customFormat="false" ht="15" hidden="false" customHeight="false" outlineLevel="0" collapsed="false">
      <c r="A26" s="106" t="s">
        <v>610</v>
      </c>
      <c r="B26" s="106" t="s">
        <v>315</v>
      </c>
      <c r="C26" s="179" t="s">
        <v>316</v>
      </c>
      <c r="D26" s="106" t="s">
        <v>11</v>
      </c>
      <c r="E26" s="179" t="s">
        <v>24</v>
      </c>
      <c r="F26" s="179" t="s">
        <v>586</v>
      </c>
      <c r="G26" s="106" t="n">
        <v>9</v>
      </c>
      <c r="H26" s="106" t="n">
        <v>3.6</v>
      </c>
      <c r="I26" s="191" t="n">
        <f aca="false">IFERROR(H26/G26,0)</f>
        <v>0.4</v>
      </c>
      <c r="J26" s="188" t="n">
        <f aca="false">IF(I26&gt;=0.95,5,IF(I26&gt;=0.8,4,IF(I26&gt;=0.65,3,IF(I26&gt;=0.5,2,1))))</f>
        <v>1</v>
      </c>
      <c r="K26" s="106" t="s">
        <v>581</v>
      </c>
    </row>
    <row r="27" customFormat="false" ht="15" hidden="false" customHeight="false" outlineLevel="0" collapsed="false">
      <c r="A27" s="102" t="s">
        <v>611</v>
      </c>
      <c r="B27" s="102" t="s">
        <v>319</v>
      </c>
      <c r="C27" s="177" t="s">
        <v>320</v>
      </c>
      <c r="D27" s="102" t="s">
        <v>11</v>
      </c>
      <c r="E27" s="177" t="s">
        <v>25</v>
      </c>
      <c r="F27" s="177" t="s">
        <v>577</v>
      </c>
      <c r="G27" s="102" t="n">
        <v>95</v>
      </c>
      <c r="H27" s="102" t="n">
        <v>85.5</v>
      </c>
      <c r="I27" s="190" t="n">
        <f aca="false">IFERROR(H27/G27,0)</f>
        <v>0.9</v>
      </c>
      <c r="J27" s="186" t="n">
        <f aca="false">IF(I27&gt;=0.95,5,IF(I27&gt;=0.8,4,IF(I27&gt;=0.65,3,IF(I27&gt;=0.5,2,1))))</f>
        <v>4</v>
      </c>
      <c r="K27" s="102" t="s">
        <v>578</v>
      </c>
    </row>
    <row r="28" customFormat="false" ht="15" hidden="false" customHeight="false" outlineLevel="0" collapsed="false">
      <c r="A28" s="106" t="s">
        <v>612</v>
      </c>
      <c r="B28" s="106" t="s">
        <v>319</v>
      </c>
      <c r="C28" s="179" t="s">
        <v>320</v>
      </c>
      <c r="D28" s="106" t="s">
        <v>11</v>
      </c>
      <c r="E28" s="179" t="s">
        <v>25</v>
      </c>
      <c r="F28" s="179" t="s">
        <v>580</v>
      </c>
      <c r="G28" s="106" t="n">
        <v>8</v>
      </c>
      <c r="H28" s="106" t="n">
        <v>8</v>
      </c>
      <c r="I28" s="191" t="n">
        <f aca="false">IFERROR(H28/G28,0)</f>
        <v>1</v>
      </c>
      <c r="J28" s="188" t="n">
        <f aca="false">IF(I28&gt;=0.95,5,IF(I28&gt;=0.8,4,IF(I28&gt;=0.65,3,IF(I28&gt;=0.5,2,1))))</f>
        <v>5</v>
      </c>
      <c r="K28" s="106" t="s">
        <v>601</v>
      </c>
    </row>
    <row r="29" customFormat="false" ht="15" hidden="false" customHeight="false" outlineLevel="0" collapsed="false">
      <c r="A29" s="102" t="s">
        <v>613</v>
      </c>
      <c r="B29" s="102" t="s">
        <v>319</v>
      </c>
      <c r="C29" s="177" t="s">
        <v>320</v>
      </c>
      <c r="D29" s="102" t="s">
        <v>11</v>
      </c>
      <c r="E29" s="177" t="s">
        <v>25</v>
      </c>
      <c r="F29" s="177" t="s">
        <v>590</v>
      </c>
      <c r="G29" s="102" t="n">
        <v>6</v>
      </c>
      <c r="H29" s="102" t="n">
        <v>5.4</v>
      </c>
      <c r="I29" s="190" t="n">
        <f aca="false">IFERROR(H29/G29,0)</f>
        <v>0.9</v>
      </c>
      <c r="J29" s="186" t="n">
        <f aca="false">IF(I29&gt;=0.95,5,IF(I29&gt;=0.8,4,IF(I29&gt;=0.65,3,IF(I29&gt;=0.5,2,1))))</f>
        <v>4</v>
      </c>
      <c r="K29" s="102" t="s">
        <v>578</v>
      </c>
    </row>
    <row r="30" customFormat="false" ht="15" hidden="false" customHeight="false" outlineLevel="0" collapsed="false">
      <c r="A30" s="106" t="s">
        <v>614</v>
      </c>
      <c r="B30" s="106" t="s">
        <v>323</v>
      </c>
      <c r="C30" s="179" t="s">
        <v>324</v>
      </c>
      <c r="D30" s="106" t="s">
        <v>11</v>
      </c>
      <c r="E30" s="179" t="s">
        <v>15</v>
      </c>
      <c r="F30" s="179" t="s">
        <v>603</v>
      </c>
      <c r="G30" s="106" t="n">
        <v>80</v>
      </c>
      <c r="H30" s="106" t="n">
        <v>48</v>
      </c>
      <c r="I30" s="191" t="n">
        <f aca="false">IFERROR(H30/G30,0)</f>
        <v>0.6</v>
      </c>
      <c r="J30" s="188" t="n">
        <f aca="false">IF(I30&gt;=0.95,5,IF(I30&gt;=0.8,4,IF(I30&gt;=0.65,3,IF(I30&gt;=0.5,2,1))))</f>
        <v>2</v>
      </c>
      <c r="K30" s="106" t="s">
        <v>581</v>
      </c>
    </row>
    <row r="31" customFormat="false" ht="15" hidden="false" customHeight="false" outlineLevel="0" collapsed="false">
      <c r="A31" s="102" t="s">
        <v>615</v>
      </c>
      <c r="B31" s="102" t="s">
        <v>323</v>
      </c>
      <c r="C31" s="177" t="s">
        <v>324</v>
      </c>
      <c r="D31" s="102" t="s">
        <v>11</v>
      </c>
      <c r="E31" s="177" t="s">
        <v>15</v>
      </c>
      <c r="F31" s="177" t="s">
        <v>590</v>
      </c>
      <c r="G31" s="102" t="n">
        <v>6</v>
      </c>
      <c r="H31" s="102" t="n">
        <v>5.4</v>
      </c>
      <c r="I31" s="190" t="n">
        <f aca="false">IFERROR(H31/G31,0)</f>
        <v>0.9</v>
      </c>
      <c r="J31" s="186" t="n">
        <f aca="false">IF(I31&gt;=0.95,5,IF(I31&gt;=0.8,4,IF(I31&gt;=0.65,3,IF(I31&gt;=0.5,2,1))))</f>
        <v>4</v>
      </c>
      <c r="K31" s="102" t="s">
        <v>578</v>
      </c>
    </row>
    <row r="32" customFormat="false" ht="15" hidden="false" customHeight="false" outlineLevel="0" collapsed="false">
      <c r="A32" s="106" t="s">
        <v>616</v>
      </c>
      <c r="B32" s="106" t="s">
        <v>323</v>
      </c>
      <c r="C32" s="179" t="s">
        <v>324</v>
      </c>
      <c r="D32" s="106" t="s">
        <v>11</v>
      </c>
      <c r="E32" s="179" t="s">
        <v>15</v>
      </c>
      <c r="F32" s="179" t="s">
        <v>580</v>
      </c>
      <c r="G32" s="106" t="n">
        <v>3</v>
      </c>
      <c r="H32" s="106" t="n">
        <v>2.1</v>
      </c>
      <c r="I32" s="191" t="n">
        <f aca="false">IFERROR(H32/G32,0)</f>
        <v>0.7</v>
      </c>
      <c r="J32" s="188" t="n">
        <f aca="false">IF(I32&gt;=0.95,5,IF(I32&gt;=0.8,4,IF(I32&gt;=0.65,3,IF(I32&gt;=0.5,2,1))))</f>
        <v>3</v>
      </c>
      <c r="K32" s="106" t="s">
        <v>578</v>
      </c>
    </row>
    <row r="33" customFormat="false" ht="15" hidden="false" customHeight="false" outlineLevel="0" collapsed="false">
      <c r="A33" s="102" t="s">
        <v>617</v>
      </c>
      <c r="B33" s="102" t="s">
        <v>327</v>
      </c>
      <c r="C33" s="177" t="s">
        <v>328</v>
      </c>
      <c r="D33" s="102" t="s">
        <v>11</v>
      </c>
      <c r="E33" s="177" t="s">
        <v>15</v>
      </c>
      <c r="F33" s="177" t="s">
        <v>583</v>
      </c>
      <c r="G33" s="102" t="n">
        <v>10</v>
      </c>
      <c r="H33" s="102" t="n">
        <v>5</v>
      </c>
      <c r="I33" s="190" t="n">
        <f aca="false">IFERROR(H33/G33,0)</f>
        <v>0.5</v>
      </c>
      <c r="J33" s="186" t="n">
        <f aca="false">IF(I33&gt;=0.95,5,IF(I33&gt;=0.8,4,IF(I33&gt;=0.65,3,IF(I33&gt;=0.5,2,1))))</f>
        <v>2</v>
      </c>
      <c r="K33" s="102" t="s">
        <v>581</v>
      </c>
    </row>
    <row r="34" customFormat="false" ht="15" hidden="false" customHeight="false" outlineLevel="0" collapsed="false">
      <c r="A34" s="106" t="s">
        <v>618</v>
      </c>
      <c r="B34" s="106" t="s">
        <v>327</v>
      </c>
      <c r="C34" s="179" t="s">
        <v>328</v>
      </c>
      <c r="D34" s="106" t="s">
        <v>11</v>
      </c>
      <c r="E34" s="179" t="s">
        <v>15</v>
      </c>
      <c r="F34" s="179" t="s">
        <v>603</v>
      </c>
      <c r="G34" s="106" t="n">
        <v>80</v>
      </c>
      <c r="H34" s="106" t="n">
        <v>48</v>
      </c>
      <c r="I34" s="191" t="n">
        <f aca="false">IFERROR(H34/G34,0)</f>
        <v>0.6</v>
      </c>
      <c r="J34" s="188" t="n">
        <f aca="false">IF(I34&gt;=0.95,5,IF(I34&gt;=0.8,4,IF(I34&gt;=0.65,3,IF(I34&gt;=0.5,2,1))))</f>
        <v>2</v>
      </c>
      <c r="K34" s="106" t="s">
        <v>581</v>
      </c>
    </row>
    <row r="35" customFormat="false" ht="15" hidden="false" customHeight="false" outlineLevel="0" collapsed="false">
      <c r="A35" s="102" t="s">
        <v>619</v>
      </c>
      <c r="B35" s="102" t="s">
        <v>327</v>
      </c>
      <c r="C35" s="177" t="s">
        <v>328</v>
      </c>
      <c r="D35" s="102" t="s">
        <v>11</v>
      </c>
      <c r="E35" s="177" t="s">
        <v>15</v>
      </c>
      <c r="F35" s="177" t="s">
        <v>580</v>
      </c>
      <c r="G35" s="102" t="n">
        <v>10</v>
      </c>
      <c r="H35" s="102" t="n">
        <v>8</v>
      </c>
      <c r="I35" s="190" t="n">
        <f aca="false">IFERROR(H35/G35,0)</f>
        <v>0.8</v>
      </c>
      <c r="J35" s="186" t="n">
        <f aca="false">IF(I35&gt;=0.95,5,IF(I35&gt;=0.8,4,IF(I35&gt;=0.65,3,IF(I35&gt;=0.5,2,1))))</f>
        <v>4</v>
      </c>
      <c r="K35" s="102" t="s">
        <v>578</v>
      </c>
    </row>
    <row r="36" customFormat="false" ht="15" hidden="false" customHeight="false" outlineLevel="0" collapsed="false">
      <c r="A36" s="106" t="s">
        <v>620</v>
      </c>
      <c r="B36" s="106" t="s">
        <v>330</v>
      </c>
      <c r="C36" s="179" t="s">
        <v>331</v>
      </c>
      <c r="D36" s="106" t="s">
        <v>11</v>
      </c>
      <c r="E36" s="179" t="s">
        <v>15</v>
      </c>
      <c r="F36" s="179" t="s">
        <v>583</v>
      </c>
      <c r="G36" s="106" t="n">
        <v>20</v>
      </c>
      <c r="H36" s="106" t="n">
        <v>16</v>
      </c>
      <c r="I36" s="191" t="n">
        <f aca="false">IFERROR(H36/G36,0)</f>
        <v>0.8</v>
      </c>
      <c r="J36" s="188" t="n">
        <f aca="false">IF(I36&gt;=0.95,5,IF(I36&gt;=0.8,4,IF(I36&gt;=0.65,3,IF(I36&gt;=0.5,2,1))))</f>
        <v>4</v>
      </c>
      <c r="K36" s="106" t="s">
        <v>578</v>
      </c>
    </row>
    <row r="37" customFormat="false" ht="15" hidden="false" customHeight="false" outlineLevel="0" collapsed="false">
      <c r="A37" s="102" t="s">
        <v>621</v>
      </c>
      <c r="B37" s="102" t="s">
        <v>330</v>
      </c>
      <c r="C37" s="177" t="s">
        <v>331</v>
      </c>
      <c r="D37" s="102" t="s">
        <v>11</v>
      </c>
      <c r="E37" s="177" t="s">
        <v>15</v>
      </c>
      <c r="F37" s="177" t="s">
        <v>580</v>
      </c>
      <c r="G37" s="102" t="n">
        <v>9</v>
      </c>
      <c r="H37" s="102" t="n">
        <v>7.2</v>
      </c>
      <c r="I37" s="190" t="n">
        <f aca="false">IFERROR(H37/G37,0)</f>
        <v>0.8</v>
      </c>
      <c r="J37" s="186" t="n">
        <f aca="false">IF(I37&gt;=0.95,5,IF(I37&gt;=0.8,4,IF(I37&gt;=0.65,3,IF(I37&gt;=0.5,2,1))))</f>
        <v>4</v>
      </c>
      <c r="K37" s="102" t="s">
        <v>578</v>
      </c>
    </row>
    <row r="38" customFormat="false" ht="15" hidden="false" customHeight="false" outlineLevel="0" collapsed="false">
      <c r="A38" s="106" t="s">
        <v>622</v>
      </c>
      <c r="B38" s="106" t="s">
        <v>332</v>
      </c>
      <c r="C38" s="179" t="s">
        <v>333</v>
      </c>
      <c r="D38" s="106" t="s">
        <v>11</v>
      </c>
      <c r="E38" s="179" t="s">
        <v>16</v>
      </c>
      <c r="F38" s="179" t="s">
        <v>595</v>
      </c>
      <c r="G38" s="106" t="n">
        <v>80</v>
      </c>
      <c r="H38" s="106" t="n">
        <v>32</v>
      </c>
      <c r="I38" s="191" t="n">
        <f aca="false">IFERROR(H38/G38,0)</f>
        <v>0.4</v>
      </c>
      <c r="J38" s="188" t="n">
        <f aca="false">IF(I38&gt;=0.95,5,IF(I38&gt;=0.8,4,IF(I38&gt;=0.65,3,IF(I38&gt;=0.5,2,1))))</f>
        <v>1</v>
      </c>
      <c r="K38" s="106" t="s">
        <v>581</v>
      </c>
    </row>
    <row r="39" customFormat="false" ht="15" hidden="false" customHeight="false" outlineLevel="0" collapsed="false">
      <c r="A39" s="102" t="s">
        <v>623</v>
      </c>
      <c r="B39" s="102" t="s">
        <v>332</v>
      </c>
      <c r="C39" s="177" t="s">
        <v>333</v>
      </c>
      <c r="D39" s="102" t="s">
        <v>11</v>
      </c>
      <c r="E39" s="177" t="s">
        <v>16</v>
      </c>
      <c r="F39" s="177" t="s">
        <v>580</v>
      </c>
      <c r="G39" s="102" t="n">
        <v>9</v>
      </c>
      <c r="H39" s="102" t="n">
        <v>7.2</v>
      </c>
      <c r="I39" s="190" t="n">
        <f aca="false">IFERROR(H39/G39,0)</f>
        <v>0.8</v>
      </c>
      <c r="J39" s="186" t="n">
        <f aca="false">IF(I39&gt;=0.95,5,IF(I39&gt;=0.8,4,IF(I39&gt;=0.65,3,IF(I39&gt;=0.5,2,1))))</f>
        <v>4</v>
      </c>
      <c r="K39" s="102" t="s">
        <v>578</v>
      </c>
    </row>
    <row r="40" customFormat="false" ht="15" hidden="false" customHeight="false" outlineLevel="0" collapsed="false">
      <c r="A40" s="106" t="s">
        <v>624</v>
      </c>
      <c r="B40" s="106" t="s">
        <v>335</v>
      </c>
      <c r="C40" s="179" t="s">
        <v>336</v>
      </c>
      <c r="D40" s="106" t="s">
        <v>11</v>
      </c>
      <c r="E40" s="179" t="s">
        <v>16</v>
      </c>
      <c r="F40" s="179" t="s">
        <v>586</v>
      </c>
      <c r="G40" s="106" t="n">
        <v>9</v>
      </c>
      <c r="H40" s="106" t="n">
        <v>8.1</v>
      </c>
      <c r="I40" s="191" t="n">
        <f aca="false">IFERROR(H40/G40,0)</f>
        <v>0.9</v>
      </c>
      <c r="J40" s="188" t="n">
        <f aca="false">IF(I40&gt;=0.95,5,IF(I40&gt;=0.8,4,IF(I40&gt;=0.65,3,IF(I40&gt;=0.5,2,1))))</f>
        <v>4</v>
      </c>
      <c r="K40" s="106" t="s">
        <v>578</v>
      </c>
    </row>
    <row r="41" customFormat="false" ht="15" hidden="false" customHeight="false" outlineLevel="0" collapsed="false">
      <c r="A41" s="102" t="s">
        <v>625</v>
      </c>
      <c r="B41" s="102" t="s">
        <v>335</v>
      </c>
      <c r="C41" s="177" t="s">
        <v>336</v>
      </c>
      <c r="D41" s="102" t="s">
        <v>11</v>
      </c>
      <c r="E41" s="177" t="s">
        <v>16</v>
      </c>
      <c r="F41" s="177" t="s">
        <v>577</v>
      </c>
      <c r="G41" s="102" t="n">
        <v>5</v>
      </c>
      <c r="H41" s="102" t="n">
        <v>2</v>
      </c>
      <c r="I41" s="190" t="n">
        <f aca="false">IFERROR(H41/G41,0)</f>
        <v>0.4</v>
      </c>
      <c r="J41" s="186" t="n">
        <f aca="false">IF(I41&gt;=0.95,5,IF(I41&gt;=0.8,4,IF(I41&gt;=0.65,3,IF(I41&gt;=0.5,2,1))))</f>
        <v>1</v>
      </c>
      <c r="K41" s="102" t="s">
        <v>581</v>
      </c>
    </row>
    <row r="42" customFormat="false" ht="15" hidden="false" customHeight="false" outlineLevel="0" collapsed="false">
      <c r="A42" s="106" t="s">
        <v>626</v>
      </c>
      <c r="B42" s="106" t="s">
        <v>335</v>
      </c>
      <c r="C42" s="179" t="s">
        <v>336</v>
      </c>
      <c r="D42" s="106" t="s">
        <v>11</v>
      </c>
      <c r="E42" s="179" t="s">
        <v>16</v>
      </c>
      <c r="F42" s="179" t="s">
        <v>590</v>
      </c>
      <c r="G42" s="106" t="n">
        <v>6</v>
      </c>
      <c r="H42" s="106" t="n">
        <v>4.8</v>
      </c>
      <c r="I42" s="191" t="n">
        <f aca="false">IFERROR(H42/G42,0)</f>
        <v>0.8</v>
      </c>
      <c r="J42" s="188" t="n">
        <f aca="false">IF(I42&gt;=0.95,5,IF(I42&gt;=0.8,4,IF(I42&gt;=0.65,3,IF(I42&gt;=0.5,2,1))))</f>
        <v>4</v>
      </c>
      <c r="K42" s="106" t="s">
        <v>578</v>
      </c>
    </row>
    <row r="43" customFormat="false" ht="15" hidden="false" customHeight="false" outlineLevel="0" collapsed="false">
      <c r="A43" s="102" t="s">
        <v>627</v>
      </c>
      <c r="B43" s="102" t="s">
        <v>335</v>
      </c>
      <c r="C43" s="177" t="s">
        <v>336</v>
      </c>
      <c r="D43" s="102" t="s">
        <v>11</v>
      </c>
      <c r="E43" s="177" t="s">
        <v>16</v>
      </c>
      <c r="F43" s="177" t="s">
        <v>595</v>
      </c>
      <c r="G43" s="102" t="n">
        <v>10</v>
      </c>
      <c r="H43" s="102" t="n">
        <v>10</v>
      </c>
      <c r="I43" s="190" t="n">
        <f aca="false">IFERROR(H43/G43,0)</f>
        <v>1</v>
      </c>
      <c r="J43" s="186" t="n">
        <f aca="false">IF(I43&gt;=0.95,5,IF(I43&gt;=0.8,4,IF(I43&gt;=0.65,3,IF(I43&gt;=0.5,2,1))))</f>
        <v>5</v>
      </c>
      <c r="K43" s="102" t="s">
        <v>601</v>
      </c>
    </row>
    <row r="44" customFormat="false" ht="15" hidden="false" customHeight="false" outlineLevel="0" collapsed="false">
      <c r="A44" s="106" t="s">
        <v>628</v>
      </c>
      <c r="B44" s="106" t="s">
        <v>338</v>
      </c>
      <c r="C44" s="179" t="s">
        <v>339</v>
      </c>
      <c r="D44" s="106" t="s">
        <v>11</v>
      </c>
      <c r="E44" s="179" t="s">
        <v>20</v>
      </c>
      <c r="F44" s="179" t="s">
        <v>590</v>
      </c>
      <c r="G44" s="106" t="n">
        <v>5</v>
      </c>
      <c r="H44" s="106" t="n">
        <v>5</v>
      </c>
      <c r="I44" s="191" t="n">
        <f aca="false">IFERROR(H44/G44,0)</f>
        <v>1</v>
      </c>
      <c r="J44" s="188" t="n">
        <f aca="false">IF(I44&gt;=0.95,5,IF(I44&gt;=0.8,4,IF(I44&gt;=0.65,3,IF(I44&gt;=0.5,2,1))))</f>
        <v>5</v>
      </c>
      <c r="K44" s="106" t="s">
        <v>601</v>
      </c>
    </row>
    <row r="45" customFormat="false" ht="15" hidden="false" customHeight="false" outlineLevel="0" collapsed="false">
      <c r="A45" s="102" t="s">
        <v>629</v>
      </c>
      <c r="B45" s="102" t="s">
        <v>338</v>
      </c>
      <c r="C45" s="177" t="s">
        <v>339</v>
      </c>
      <c r="D45" s="102" t="s">
        <v>11</v>
      </c>
      <c r="E45" s="177" t="s">
        <v>20</v>
      </c>
      <c r="F45" s="177" t="s">
        <v>598</v>
      </c>
      <c r="G45" s="102" t="n">
        <v>10</v>
      </c>
      <c r="H45" s="102" t="n">
        <v>9</v>
      </c>
      <c r="I45" s="190" t="n">
        <f aca="false">IFERROR(H45/G45,0)</f>
        <v>0.9</v>
      </c>
      <c r="J45" s="186" t="n">
        <f aca="false">IF(I45&gt;=0.95,5,IF(I45&gt;=0.8,4,IF(I45&gt;=0.65,3,IF(I45&gt;=0.5,2,1))))</f>
        <v>4</v>
      </c>
      <c r="K45" s="102" t="s">
        <v>578</v>
      </c>
    </row>
    <row r="46" customFormat="false" ht="15" hidden="false" customHeight="false" outlineLevel="0" collapsed="false">
      <c r="A46" s="106" t="s">
        <v>630</v>
      </c>
      <c r="B46" s="106" t="s">
        <v>342</v>
      </c>
      <c r="C46" s="179" t="s">
        <v>343</v>
      </c>
      <c r="D46" s="106" t="s">
        <v>11</v>
      </c>
      <c r="E46" s="179" t="s">
        <v>20</v>
      </c>
      <c r="F46" s="179" t="s">
        <v>580</v>
      </c>
      <c r="G46" s="106" t="n">
        <v>6</v>
      </c>
      <c r="H46" s="106" t="n">
        <v>3</v>
      </c>
      <c r="I46" s="191" t="n">
        <f aca="false">IFERROR(H46/G46,0)</f>
        <v>0.5</v>
      </c>
      <c r="J46" s="188" t="n">
        <f aca="false">IF(I46&gt;=0.95,5,IF(I46&gt;=0.8,4,IF(I46&gt;=0.65,3,IF(I46&gt;=0.5,2,1))))</f>
        <v>2</v>
      </c>
      <c r="K46" s="106" t="s">
        <v>581</v>
      </c>
    </row>
    <row r="47" customFormat="false" ht="15" hidden="false" customHeight="false" outlineLevel="0" collapsed="false">
      <c r="A47" s="102" t="s">
        <v>631</v>
      </c>
      <c r="B47" s="102" t="s">
        <v>342</v>
      </c>
      <c r="C47" s="177" t="s">
        <v>343</v>
      </c>
      <c r="D47" s="102" t="s">
        <v>11</v>
      </c>
      <c r="E47" s="177" t="s">
        <v>20</v>
      </c>
      <c r="F47" s="177" t="s">
        <v>577</v>
      </c>
      <c r="G47" s="102" t="n">
        <v>100</v>
      </c>
      <c r="H47" s="102" t="n">
        <v>100</v>
      </c>
      <c r="I47" s="190" t="n">
        <f aca="false">IFERROR(H47/G47,0)</f>
        <v>1</v>
      </c>
      <c r="J47" s="186" t="n">
        <f aca="false">IF(I47&gt;=0.95,5,IF(I47&gt;=0.8,4,IF(I47&gt;=0.65,3,IF(I47&gt;=0.5,2,1))))</f>
        <v>5</v>
      </c>
      <c r="K47" s="102" t="s">
        <v>601</v>
      </c>
    </row>
    <row r="48" customFormat="false" ht="15" hidden="false" customHeight="false" outlineLevel="0" collapsed="false">
      <c r="A48" s="106" t="s">
        <v>632</v>
      </c>
      <c r="B48" s="106" t="s">
        <v>342</v>
      </c>
      <c r="C48" s="179" t="s">
        <v>343</v>
      </c>
      <c r="D48" s="106" t="s">
        <v>11</v>
      </c>
      <c r="E48" s="179" t="s">
        <v>20</v>
      </c>
      <c r="F48" s="179" t="s">
        <v>598</v>
      </c>
      <c r="G48" s="106" t="n">
        <v>5</v>
      </c>
      <c r="H48" s="106" t="n">
        <v>2.5</v>
      </c>
      <c r="I48" s="191" t="n">
        <f aca="false">IFERROR(H48/G48,0)</f>
        <v>0.5</v>
      </c>
      <c r="J48" s="188" t="n">
        <f aca="false">IF(I48&gt;=0.95,5,IF(I48&gt;=0.8,4,IF(I48&gt;=0.65,3,IF(I48&gt;=0.5,2,1))))</f>
        <v>2</v>
      </c>
      <c r="K48" s="106" t="s">
        <v>581</v>
      </c>
    </row>
    <row r="49" customFormat="false" ht="15" hidden="false" customHeight="false" outlineLevel="0" collapsed="false">
      <c r="A49" s="102" t="s">
        <v>633</v>
      </c>
      <c r="B49" s="102" t="s">
        <v>344</v>
      </c>
      <c r="C49" s="177" t="s">
        <v>345</v>
      </c>
      <c r="D49" s="102" t="s">
        <v>11</v>
      </c>
      <c r="E49" s="177" t="s">
        <v>20</v>
      </c>
      <c r="F49" s="177" t="s">
        <v>583</v>
      </c>
      <c r="G49" s="102" t="n">
        <v>20</v>
      </c>
      <c r="H49" s="102" t="n">
        <v>18</v>
      </c>
      <c r="I49" s="190" t="n">
        <f aca="false">IFERROR(H49/G49,0)</f>
        <v>0.9</v>
      </c>
      <c r="J49" s="186" t="n">
        <f aca="false">IF(I49&gt;=0.95,5,IF(I49&gt;=0.8,4,IF(I49&gt;=0.65,3,IF(I49&gt;=0.5,2,1))))</f>
        <v>4</v>
      </c>
      <c r="K49" s="102" t="s">
        <v>578</v>
      </c>
    </row>
    <row r="50" customFormat="false" ht="15" hidden="false" customHeight="false" outlineLevel="0" collapsed="false">
      <c r="A50" s="106" t="s">
        <v>634</v>
      </c>
      <c r="B50" s="106" t="s">
        <v>344</v>
      </c>
      <c r="C50" s="179" t="s">
        <v>345</v>
      </c>
      <c r="D50" s="106" t="s">
        <v>11</v>
      </c>
      <c r="E50" s="179" t="s">
        <v>20</v>
      </c>
      <c r="F50" s="179" t="s">
        <v>595</v>
      </c>
      <c r="G50" s="106" t="n">
        <v>100</v>
      </c>
      <c r="H50" s="106" t="n">
        <v>100</v>
      </c>
      <c r="I50" s="191" t="n">
        <f aca="false">IFERROR(H50/G50,0)</f>
        <v>1</v>
      </c>
      <c r="J50" s="188" t="n">
        <f aca="false">IF(I50&gt;=0.95,5,IF(I50&gt;=0.8,4,IF(I50&gt;=0.65,3,IF(I50&gt;=0.5,2,1))))</f>
        <v>5</v>
      </c>
      <c r="K50" s="106" t="s">
        <v>601</v>
      </c>
    </row>
    <row r="51" customFormat="false" ht="15" hidden="false" customHeight="false" outlineLevel="0" collapsed="false">
      <c r="A51" s="102" t="s">
        <v>635</v>
      </c>
      <c r="B51" s="102" t="s">
        <v>347</v>
      </c>
      <c r="C51" s="177" t="s">
        <v>348</v>
      </c>
      <c r="D51" s="102" t="s">
        <v>11</v>
      </c>
      <c r="E51" s="177" t="s">
        <v>21</v>
      </c>
      <c r="F51" s="177" t="s">
        <v>586</v>
      </c>
      <c r="G51" s="102" t="n">
        <v>4</v>
      </c>
      <c r="H51" s="102" t="n">
        <v>3.2</v>
      </c>
      <c r="I51" s="190" t="n">
        <f aca="false">IFERROR(H51/G51,0)</f>
        <v>0.8</v>
      </c>
      <c r="J51" s="186" t="n">
        <f aca="false">IF(I51&gt;=0.95,5,IF(I51&gt;=0.8,4,IF(I51&gt;=0.65,3,IF(I51&gt;=0.5,2,1))))</f>
        <v>4</v>
      </c>
      <c r="K51" s="102" t="s">
        <v>578</v>
      </c>
    </row>
    <row r="52" customFormat="false" ht="15" hidden="false" customHeight="false" outlineLevel="0" collapsed="false">
      <c r="A52" s="106" t="s">
        <v>636</v>
      </c>
      <c r="B52" s="106" t="s">
        <v>347</v>
      </c>
      <c r="C52" s="179" t="s">
        <v>348</v>
      </c>
      <c r="D52" s="106" t="s">
        <v>11</v>
      </c>
      <c r="E52" s="179" t="s">
        <v>21</v>
      </c>
      <c r="F52" s="179" t="s">
        <v>580</v>
      </c>
      <c r="G52" s="106" t="n">
        <v>8</v>
      </c>
      <c r="H52" s="106" t="n">
        <v>6.4</v>
      </c>
      <c r="I52" s="191" t="n">
        <f aca="false">IFERROR(H52/G52,0)</f>
        <v>0.8</v>
      </c>
      <c r="J52" s="188" t="n">
        <f aca="false">IF(I52&gt;=0.95,5,IF(I52&gt;=0.8,4,IF(I52&gt;=0.65,3,IF(I52&gt;=0.5,2,1))))</f>
        <v>4</v>
      </c>
      <c r="K52" s="106" t="s">
        <v>578</v>
      </c>
    </row>
    <row r="53" customFormat="false" ht="15" hidden="false" customHeight="false" outlineLevel="0" collapsed="false">
      <c r="A53" s="102" t="s">
        <v>637</v>
      </c>
      <c r="B53" s="102" t="s">
        <v>347</v>
      </c>
      <c r="C53" s="177" t="s">
        <v>348</v>
      </c>
      <c r="D53" s="102" t="s">
        <v>11</v>
      </c>
      <c r="E53" s="177" t="s">
        <v>21</v>
      </c>
      <c r="F53" s="177" t="s">
        <v>577</v>
      </c>
      <c r="G53" s="102" t="n">
        <v>80</v>
      </c>
      <c r="H53" s="102" t="n">
        <v>72</v>
      </c>
      <c r="I53" s="190" t="n">
        <f aca="false">IFERROR(H53/G53,0)</f>
        <v>0.9</v>
      </c>
      <c r="J53" s="186" t="n">
        <f aca="false">IF(I53&gt;=0.95,5,IF(I53&gt;=0.8,4,IF(I53&gt;=0.65,3,IF(I53&gt;=0.5,2,1))))</f>
        <v>4</v>
      </c>
      <c r="K53" s="102" t="s">
        <v>578</v>
      </c>
    </row>
    <row r="54" customFormat="false" ht="15" hidden="false" customHeight="false" outlineLevel="0" collapsed="false">
      <c r="A54" s="106" t="s">
        <v>638</v>
      </c>
      <c r="B54" s="106" t="s">
        <v>347</v>
      </c>
      <c r="C54" s="179" t="s">
        <v>348</v>
      </c>
      <c r="D54" s="106" t="s">
        <v>11</v>
      </c>
      <c r="E54" s="179" t="s">
        <v>21</v>
      </c>
      <c r="F54" s="179" t="s">
        <v>588</v>
      </c>
      <c r="G54" s="106" t="n">
        <v>20</v>
      </c>
      <c r="H54" s="106" t="n">
        <v>14</v>
      </c>
      <c r="I54" s="191" t="n">
        <f aca="false">IFERROR(H54/G54,0)</f>
        <v>0.7</v>
      </c>
      <c r="J54" s="188" t="n">
        <f aca="false">IF(I54&gt;=0.95,5,IF(I54&gt;=0.8,4,IF(I54&gt;=0.65,3,IF(I54&gt;=0.5,2,1))))</f>
        <v>3</v>
      </c>
      <c r="K54" s="106" t="s">
        <v>578</v>
      </c>
    </row>
    <row r="55" customFormat="false" ht="15" hidden="false" customHeight="false" outlineLevel="0" collapsed="false">
      <c r="A55" s="102" t="s">
        <v>639</v>
      </c>
      <c r="B55" s="102" t="s">
        <v>351</v>
      </c>
      <c r="C55" s="177" t="s">
        <v>352</v>
      </c>
      <c r="D55" s="102" t="s">
        <v>11</v>
      </c>
      <c r="E55" s="177" t="s">
        <v>21</v>
      </c>
      <c r="F55" s="177" t="s">
        <v>583</v>
      </c>
      <c r="G55" s="102" t="n">
        <v>10</v>
      </c>
      <c r="H55" s="102" t="n">
        <v>8</v>
      </c>
      <c r="I55" s="190" t="n">
        <f aca="false">IFERROR(H55/G55,0)</f>
        <v>0.8</v>
      </c>
      <c r="J55" s="186" t="n">
        <f aca="false">IF(I55&gt;=0.95,5,IF(I55&gt;=0.8,4,IF(I55&gt;=0.65,3,IF(I55&gt;=0.5,2,1))))</f>
        <v>4</v>
      </c>
      <c r="K55" s="102" t="s">
        <v>578</v>
      </c>
    </row>
    <row r="56" customFormat="false" ht="15" hidden="false" customHeight="false" outlineLevel="0" collapsed="false">
      <c r="A56" s="106" t="s">
        <v>640</v>
      </c>
      <c r="B56" s="106" t="s">
        <v>351</v>
      </c>
      <c r="C56" s="179" t="s">
        <v>352</v>
      </c>
      <c r="D56" s="106" t="s">
        <v>11</v>
      </c>
      <c r="E56" s="179" t="s">
        <v>21</v>
      </c>
      <c r="F56" s="179" t="s">
        <v>595</v>
      </c>
      <c r="G56" s="106" t="n">
        <v>90</v>
      </c>
      <c r="H56" s="106" t="n">
        <v>36</v>
      </c>
      <c r="I56" s="191" t="n">
        <f aca="false">IFERROR(H56/G56,0)</f>
        <v>0.4</v>
      </c>
      <c r="J56" s="188" t="n">
        <f aca="false">IF(I56&gt;=0.95,5,IF(I56&gt;=0.8,4,IF(I56&gt;=0.65,3,IF(I56&gt;=0.5,2,1))))</f>
        <v>1</v>
      </c>
      <c r="K56" s="106" t="s">
        <v>581</v>
      </c>
    </row>
    <row r="57" customFormat="false" ht="15" hidden="false" customHeight="false" outlineLevel="0" collapsed="false">
      <c r="A57" s="102" t="s">
        <v>641</v>
      </c>
      <c r="B57" s="102" t="s">
        <v>351</v>
      </c>
      <c r="C57" s="177" t="s">
        <v>352</v>
      </c>
      <c r="D57" s="102" t="s">
        <v>11</v>
      </c>
      <c r="E57" s="177" t="s">
        <v>21</v>
      </c>
      <c r="F57" s="177" t="s">
        <v>577</v>
      </c>
      <c r="G57" s="102" t="n">
        <v>10</v>
      </c>
      <c r="H57" s="102" t="n">
        <v>6</v>
      </c>
      <c r="I57" s="190" t="n">
        <f aca="false">IFERROR(H57/G57,0)</f>
        <v>0.6</v>
      </c>
      <c r="J57" s="186" t="n">
        <f aca="false">IF(I57&gt;=0.95,5,IF(I57&gt;=0.8,4,IF(I57&gt;=0.65,3,IF(I57&gt;=0.5,2,1))))</f>
        <v>2</v>
      </c>
      <c r="K57" s="102" t="s">
        <v>581</v>
      </c>
    </row>
    <row r="58" customFormat="false" ht="15" hidden="false" customHeight="false" outlineLevel="0" collapsed="false">
      <c r="A58" s="106" t="s">
        <v>642</v>
      </c>
      <c r="B58" s="106" t="s">
        <v>351</v>
      </c>
      <c r="C58" s="179" t="s">
        <v>352</v>
      </c>
      <c r="D58" s="106" t="s">
        <v>11</v>
      </c>
      <c r="E58" s="179" t="s">
        <v>21</v>
      </c>
      <c r="F58" s="179" t="s">
        <v>580</v>
      </c>
      <c r="G58" s="106" t="n">
        <v>10</v>
      </c>
      <c r="H58" s="106" t="n">
        <v>9</v>
      </c>
      <c r="I58" s="191" t="n">
        <f aca="false">IFERROR(H58/G58,0)</f>
        <v>0.9</v>
      </c>
      <c r="J58" s="188" t="n">
        <f aca="false">IF(I58&gt;=0.95,5,IF(I58&gt;=0.8,4,IF(I58&gt;=0.65,3,IF(I58&gt;=0.5,2,1))))</f>
        <v>4</v>
      </c>
      <c r="K58" s="106" t="s">
        <v>578</v>
      </c>
    </row>
    <row r="59" customFormat="false" ht="15" hidden="false" customHeight="false" outlineLevel="0" collapsed="false">
      <c r="A59" s="102" t="s">
        <v>643</v>
      </c>
      <c r="B59" s="102" t="s">
        <v>353</v>
      </c>
      <c r="C59" s="177" t="s">
        <v>164</v>
      </c>
      <c r="D59" s="102" t="s">
        <v>11</v>
      </c>
      <c r="E59" s="177" t="s">
        <v>21</v>
      </c>
      <c r="F59" s="177" t="s">
        <v>598</v>
      </c>
      <c r="G59" s="102" t="n">
        <v>9</v>
      </c>
      <c r="H59" s="102" t="n">
        <v>6.3</v>
      </c>
      <c r="I59" s="190" t="n">
        <f aca="false">IFERROR(H59/G59,0)</f>
        <v>0.7</v>
      </c>
      <c r="J59" s="186" t="n">
        <f aca="false">IF(I59&gt;=0.95,5,IF(I59&gt;=0.8,4,IF(I59&gt;=0.65,3,IF(I59&gt;=0.5,2,1))))</f>
        <v>3</v>
      </c>
      <c r="K59" s="102" t="s">
        <v>578</v>
      </c>
    </row>
    <row r="60" customFormat="false" ht="15" hidden="false" customHeight="false" outlineLevel="0" collapsed="false">
      <c r="A60" s="106" t="s">
        <v>644</v>
      </c>
      <c r="B60" s="106" t="s">
        <v>353</v>
      </c>
      <c r="C60" s="179" t="s">
        <v>164</v>
      </c>
      <c r="D60" s="106" t="s">
        <v>11</v>
      </c>
      <c r="E60" s="179" t="s">
        <v>21</v>
      </c>
      <c r="F60" s="179" t="s">
        <v>595</v>
      </c>
      <c r="G60" s="106" t="n">
        <v>10</v>
      </c>
      <c r="H60" s="106" t="n">
        <v>5</v>
      </c>
      <c r="I60" s="191" t="n">
        <f aca="false">IFERROR(H60/G60,0)</f>
        <v>0.5</v>
      </c>
      <c r="J60" s="188" t="n">
        <f aca="false">IF(I60&gt;=0.95,5,IF(I60&gt;=0.8,4,IF(I60&gt;=0.65,3,IF(I60&gt;=0.5,2,1))))</f>
        <v>2</v>
      </c>
      <c r="K60" s="106" t="s">
        <v>581</v>
      </c>
    </row>
    <row r="61" customFormat="false" ht="15" hidden="false" customHeight="false" outlineLevel="0" collapsed="false">
      <c r="A61" s="102" t="s">
        <v>645</v>
      </c>
      <c r="B61" s="102" t="s">
        <v>353</v>
      </c>
      <c r="C61" s="177" t="s">
        <v>164</v>
      </c>
      <c r="D61" s="102" t="s">
        <v>11</v>
      </c>
      <c r="E61" s="177" t="s">
        <v>21</v>
      </c>
      <c r="F61" s="177" t="s">
        <v>592</v>
      </c>
      <c r="G61" s="102" t="n">
        <v>10</v>
      </c>
      <c r="H61" s="102" t="n">
        <v>10</v>
      </c>
      <c r="I61" s="190" t="n">
        <f aca="false">IFERROR(H61/G61,0)</f>
        <v>1</v>
      </c>
      <c r="J61" s="186" t="n">
        <f aca="false">IF(I61&gt;=0.95,5,IF(I61&gt;=0.8,4,IF(I61&gt;=0.65,3,IF(I61&gt;=0.5,2,1))))</f>
        <v>5</v>
      </c>
      <c r="K61" s="102" t="s">
        <v>601</v>
      </c>
    </row>
    <row r="62" customFormat="false" ht="15" hidden="false" customHeight="false" outlineLevel="0" collapsed="false">
      <c r="A62" s="106" t="s">
        <v>646</v>
      </c>
      <c r="B62" s="106" t="s">
        <v>355</v>
      </c>
      <c r="C62" s="179" t="s">
        <v>356</v>
      </c>
      <c r="D62" s="106" t="s">
        <v>11</v>
      </c>
      <c r="E62" s="179" t="s">
        <v>22</v>
      </c>
      <c r="F62" s="179" t="s">
        <v>598</v>
      </c>
      <c r="G62" s="106" t="n">
        <v>10</v>
      </c>
      <c r="H62" s="106" t="n">
        <v>8</v>
      </c>
      <c r="I62" s="191" t="n">
        <f aca="false">IFERROR(H62/G62,0)</f>
        <v>0.8</v>
      </c>
      <c r="J62" s="188" t="n">
        <f aca="false">IF(I62&gt;=0.95,5,IF(I62&gt;=0.8,4,IF(I62&gt;=0.65,3,IF(I62&gt;=0.5,2,1))))</f>
        <v>4</v>
      </c>
      <c r="K62" s="106" t="s">
        <v>578</v>
      </c>
    </row>
    <row r="63" customFormat="false" ht="15" hidden="false" customHeight="false" outlineLevel="0" collapsed="false">
      <c r="A63" s="102" t="s">
        <v>647</v>
      </c>
      <c r="B63" s="102" t="s">
        <v>355</v>
      </c>
      <c r="C63" s="177" t="s">
        <v>356</v>
      </c>
      <c r="D63" s="102" t="s">
        <v>11</v>
      </c>
      <c r="E63" s="177" t="s">
        <v>22</v>
      </c>
      <c r="F63" s="177" t="s">
        <v>586</v>
      </c>
      <c r="G63" s="102" t="n">
        <v>8</v>
      </c>
      <c r="H63" s="102" t="n">
        <v>6.4</v>
      </c>
      <c r="I63" s="190" t="n">
        <f aca="false">IFERROR(H63/G63,0)</f>
        <v>0.8</v>
      </c>
      <c r="J63" s="186" t="n">
        <f aca="false">IF(I63&gt;=0.95,5,IF(I63&gt;=0.8,4,IF(I63&gt;=0.65,3,IF(I63&gt;=0.5,2,1))))</f>
        <v>4</v>
      </c>
      <c r="K63" s="102" t="s">
        <v>578</v>
      </c>
    </row>
    <row r="64" customFormat="false" ht="15" hidden="false" customHeight="false" outlineLevel="0" collapsed="false">
      <c r="A64" s="106" t="s">
        <v>648</v>
      </c>
      <c r="B64" s="106" t="s">
        <v>355</v>
      </c>
      <c r="C64" s="179" t="s">
        <v>356</v>
      </c>
      <c r="D64" s="106" t="s">
        <v>11</v>
      </c>
      <c r="E64" s="179" t="s">
        <v>22</v>
      </c>
      <c r="F64" s="179" t="s">
        <v>583</v>
      </c>
      <c r="G64" s="106" t="n">
        <v>10</v>
      </c>
      <c r="H64" s="106" t="n">
        <v>8</v>
      </c>
      <c r="I64" s="191" t="n">
        <f aca="false">IFERROR(H64/G64,0)</f>
        <v>0.8</v>
      </c>
      <c r="J64" s="188" t="n">
        <f aca="false">IF(I64&gt;=0.95,5,IF(I64&gt;=0.8,4,IF(I64&gt;=0.65,3,IF(I64&gt;=0.5,2,1))))</f>
        <v>4</v>
      </c>
      <c r="K64" s="106" t="s">
        <v>578</v>
      </c>
    </row>
    <row r="65" customFormat="false" ht="15" hidden="false" customHeight="false" outlineLevel="0" collapsed="false">
      <c r="A65" s="102" t="s">
        <v>649</v>
      </c>
      <c r="B65" s="102" t="s">
        <v>358</v>
      </c>
      <c r="C65" s="177" t="s">
        <v>79</v>
      </c>
      <c r="D65" s="102" t="s">
        <v>11</v>
      </c>
      <c r="E65" s="177" t="s">
        <v>22</v>
      </c>
      <c r="F65" s="177" t="s">
        <v>580</v>
      </c>
      <c r="G65" s="102" t="n">
        <v>5</v>
      </c>
      <c r="H65" s="102" t="n">
        <v>2.5</v>
      </c>
      <c r="I65" s="190" t="n">
        <f aca="false">IFERROR(H65/G65,0)</f>
        <v>0.5</v>
      </c>
      <c r="J65" s="186" t="n">
        <f aca="false">IF(I65&gt;=0.95,5,IF(I65&gt;=0.8,4,IF(I65&gt;=0.65,3,IF(I65&gt;=0.5,2,1))))</f>
        <v>2</v>
      </c>
      <c r="K65" s="102" t="s">
        <v>581</v>
      </c>
    </row>
    <row r="66" customFormat="false" ht="15" hidden="false" customHeight="false" outlineLevel="0" collapsed="false">
      <c r="A66" s="106" t="s">
        <v>650</v>
      </c>
      <c r="B66" s="106" t="s">
        <v>358</v>
      </c>
      <c r="C66" s="179" t="s">
        <v>79</v>
      </c>
      <c r="D66" s="106" t="s">
        <v>11</v>
      </c>
      <c r="E66" s="179" t="s">
        <v>22</v>
      </c>
      <c r="F66" s="179" t="s">
        <v>590</v>
      </c>
      <c r="G66" s="106" t="n">
        <v>10</v>
      </c>
      <c r="H66" s="106" t="n">
        <v>10</v>
      </c>
      <c r="I66" s="191" t="n">
        <f aca="false">IFERROR(H66/G66,0)</f>
        <v>1</v>
      </c>
      <c r="J66" s="188" t="n">
        <f aca="false">IF(I66&gt;=0.95,5,IF(I66&gt;=0.8,4,IF(I66&gt;=0.65,3,IF(I66&gt;=0.5,2,1))))</f>
        <v>5</v>
      </c>
      <c r="K66" s="106" t="s">
        <v>601</v>
      </c>
    </row>
    <row r="67" customFormat="false" ht="15" hidden="false" customHeight="false" outlineLevel="0" collapsed="false">
      <c r="A67" s="102" t="s">
        <v>651</v>
      </c>
      <c r="B67" s="102" t="s">
        <v>360</v>
      </c>
      <c r="C67" s="177" t="s">
        <v>361</v>
      </c>
      <c r="D67" s="102" t="s">
        <v>11</v>
      </c>
      <c r="E67" s="177" t="s">
        <v>22</v>
      </c>
      <c r="F67" s="177" t="s">
        <v>595</v>
      </c>
      <c r="G67" s="102" t="n">
        <v>100</v>
      </c>
      <c r="H67" s="102" t="n">
        <v>100</v>
      </c>
      <c r="I67" s="190" t="n">
        <f aca="false">IFERROR(H67/G67,0)</f>
        <v>1</v>
      </c>
      <c r="J67" s="186" t="n">
        <f aca="false">IF(I67&gt;=0.95,5,IF(I67&gt;=0.8,4,IF(I67&gt;=0.65,3,IF(I67&gt;=0.5,2,1))))</f>
        <v>5</v>
      </c>
      <c r="K67" s="102" t="s">
        <v>601</v>
      </c>
    </row>
    <row r="68" customFormat="false" ht="15" hidden="false" customHeight="false" outlineLevel="0" collapsed="false">
      <c r="A68" s="106" t="s">
        <v>652</v>
      </c>
      <c r="B68" s="106" t="s">
        <v>360</v>
      </c>
      <c r="C68" s="179" t="s">
        <v>361</v>
      </c>
      <c r="D68" s="106" t="s">
        <v>11</v>
      </c>
      <c r="E68" s="179" t="s">
        <v>22</v>
      </c>
      <c r="F68" s="179" t="s">
        <v>580</v>
      </c>
      <c r="G68" s="106" t="n">
        <v>10</v>
      </c>
      <c r="H68" s="106" t="n">
        <v>5</v>
      </c>
      <c r="I68" s="191" t="n">
        <f aca="false">IFERROR(H68/G68,0)</f>
        <v>0.5</v>
      </c>
      <c r="J68" s="188" t="n">
        <f aca="false">IF(I68&gt;=0.95,5,IF(I68&gt;=0.8,4,IF(I68&gt;=0.65,3,IF(I68&gt;=0.5,2,1))))</f>
        <v>2</v>
      </c>
      <c r="K68" s="106" t="s">
        <v>581</v>
      </c>
    </row>
    <row r="69" customFormat="false" ht="15" hidden="false" customHeight="false" outlineLevel="0" collapsed="false">
      <c r="A69" s="102" t="s">
        <v>653</v>
      </c>
      <c r="B69" s="102" t="s">
        <v>360</v>
      </c>
      <c r="C69" s="177" t="s">
        <v>361</v>
      </c>
      <c r="D69" s="102" t="s">
        <v>11</v>
      </c>
      <c r="E69" s="177" t="s">
        <v>22</v>
      </c>
      <c r="F69" s="177" t="s">
        <v>583</v>
      </c>
      <c r="G69" s="102" t="n">
        <v>100</v>
      </c>
      <c r="H69" s="102" t="n">
        <v>50</v>
      </c>
      <c r="I69" s="190" t="n">
        <f aca="false">IFERROR(H69/G69,0)</f>
        <v>0.5</v>
      </c>
      <c r="J69" s="186" t="n">
        <f aca="false">IF(I69&gt;=0.95,5,IF(I69&gt;=0.8,4,IF(I69&gt;=0.65,3,IF(I69&gt;=0.5,2,1))))</f>
        <v>2</v>
      </c>
      <c r="K69" s="102" t="s">
        <v>581</v>
      </c>
    </row>
    <row r="70" customFormat="false" ht="15" hidden="false" customHeight="false" outlineLevel="0" collapsed="false">
      <c r="A70" s="106" t="s">
        <v>654</v>
      </c>
      <c r="B70" s="106" t="s">
        <v>360</v>
      </c>
      <c r="C70" s="179" t="s">
        <v>361</v>
      </c>
      <c r="D70" s="106" t="s">
        <v>11</v>
      </c>
      <c r="E70" s="179" t="s">
        <v>22</v>
      </c>
      <c r="F70" s="179" t="s">
        <v>590</v>
      </c>
      <c r="G70" s="106" t="n">
        <v>7</v>
      </c>
      <c r="H70" s="106" t="n">
        <v>5.6</v>
      </c>
      <c r="I70" s="191" t="n">
        <f aca="false">IFERROR(H70/G70,0)</f>
        <v>0.8</v>
      </c>
      <c r="J70" s="188" t="n">
        <f aca="false">IF(I70&gt;=0.95,5,IF(I70&gt;=0.8,4,IF(I70&gt;=0.65,3,IF(I70&gt;=0.5,2,1))))</f>
        <v>4</v>
      </c>
      <c r="K70" s="106" t="s">
        <v>578</v>
      </c>
    </row>
    <row r="71" customFormat="false" ht="15" hidden="false" customHeight="false" outlineLevel="0" collapsed="false">
      <c r="A71" s="102" t="s">
        <v>655</v>
      </c>
      <c r="B71" s="102" t="s">
        <v>363</v>
      </c>
      <c r="C71" s="177" t="s">
        <v>364</v>
      </c>
      <c r="D71" s="102" t="s">
        <v>11</v>
      </c>
      <c r="E71" s="177" t="s">
        <v>23</v>
      </c>
      <c r="F71" s="177" t="s">
        <v>588</v>
      </c>
      <c r="G71" s="102" t="n">
        <v>100</v>
      </c>
      <c r="H71" s="102" t="n">
        <v>90</v>
      </c>
      <c r="I71" s="190" t="n">
        <f aca="false">IFERROR(H71/G71,0)</f>
        <v>0.9</v>
      </c>
      <c r="J71" s="186" t="n">
        <f aca="false">IF(I71&gt;=0.95,5,IF(I71&gt;=0.8,4,IF(I71&gt;=0.65,3,IF(I71&gt;=0.5,2,1))))</f>
        <v>4</v>
      </c>
      <c r="K71" s="102" t="s">
        <v>578</v>
      </c>
    </row>
    <row r="72" customFormat="false" ht="15" hidden="false" customHeight="false" outlineLevel="0" collapsed="false">
      <c r="A72" s="106" t="s">
        <v>656</v>
      </c>
      <c r="B72" s="106" t="s">
        <v>363</v>
      </c>
      <c r="C72" s="179" t="s">
        <v>364</v>
      </c>
      <c r="D72" s="106" t="s">
        <v>11</v>
      </c>
      <c r="E72" s="179" t="s">
        <v>23</v>
      </c>
      <c r="F72" s="179" t="s">
        <v>577</v>
      </c>
      <c r="G72" s="106" t="n">
        <v>20</v>
      </c>
      <c r="H72" s="106" t="n">
        <v>20</v>
      </c>
      <c r="I72" s="191" t="n">
        <f aca="false">IFERROR(H72/G72,0)</f>
        <v>1</v>
      </c>
      <c r="J72" s="188" t="n">
        <f aca="false">IF(I72&gt;=0.95,5,IF(I72&gt;=0.8,4,IF(I72&gt;=0.65,3,IF(I72&gt;=0.5,2,1))))</f>
        <v>5</v>
      </c>
      <c r="K72" s="106" t="s">
        <v>601</v>
      </c>
    </row>
    <row r="73" customFormat="false" ht="15" hidden="false" customHeight="false" outlineLevel="0" collapsed="false">
      <c r="A73" s="102" t="s">
        <v>657</v>
      </c>
      <c r="B73" s="102" t="s">
        <v>363</v>
      </c>
      <c r="C73" s="177" t="s">
        <v>364</v>
      </c>
      <c r="D73" s="102" t="s">
        <v>11</v>
      </c>
      <c r="E73" s="177" t="s">
        <v>23</v>
      </c>
      <c r="F73" s="177" t="s">
        <v>595</v>
      </c>
      <c r="G73" s="102" t="n">
        <v>95</v>
      </c>
      <c r="H73" s="102" t="n">
        <v>47.5</v>
      </c>
      <c r="I73" s="190" t="n">
        <f aca="false">IFERROR(H73/G73,0)</f>
        <v>0.5</v>
      </c>
      <c r="J73" s="186" t="n">
        <f aca="false">IF(I73&gt;=0.95,5,IF(I73&gt;=0.8,4,IF(I73&gt;=0.65,3,IF(I73&gt;=0.5,2,1))))</f>
        <v>2</v>
      </c>
      <c r="K73" s="102" t="s">
        <v>581</v>
      </c>
    </row>
    <row r="74" customFormat="false" ht="15" hidden="false" customHeight="false" outlineLevel="0" collapsed="false">
      <c r="A74" s="106" t="s">
        <v>658</v>
      </c>
      <c r="B74" s="106" t="s">
        <v>367</v>
      </c>
      <c r="C74" s="179" t="s">
        <v>119</v>
      </c>
      <c r="D74" s="106" t="s">
        <v>11</v>
      </c>
      <c r="E74" s="179" t="s">
        <v>23</v>
      </c>
      <c r="F74" s="179" t="s">
        <v>580</v>
      </c>
      <c r="G74" s="106" t="n">
        <v>10</v>
      </c>
      <c r="H74" s="106" t="n">
        <v>6</v>
      </c>
      <c r="I74" s="191" t="n">
        <f aca="false">IFERROR(H74/G74,0)</f>
        <v>0.6</v>
      </c>
      <c r="J74" s="188" t="n">
        <f aca="false">IF(I74&gt;=0.95,5,IF(I74&gt;=0.8,4,IF(I74&gt;=0.65,3,IF(I74&gt;=0.5,2,1))))</f>
        <v>2</v>
      </c>
      <c r="K74" s="106" t="s">
        <v>581</v>
      </c>
    </row>
    <row r="75" customFormat="false" ht="15" hidden="false" customHeight="false" outlineLevel="0" collapsed="false">
      <c r="A75" s="102" t="s">
        <v>659</v>
      </c>
      <c r="B75" s="102" t="s">
        <v>367</v>
      </c>
      <c r="C75" s="177" t="s">
        <v>119</v>
      </c>
      <c r="D75" s="102" t="s">
        <v>11</v>
      </c>
      <c r="E75" s="177" t="s">
        <v>23</v>
      </c>
      <c r="F75" s="177" t="s">
        <v>603</v>
      </c>
      <c r="G75" s="102" t="n">
        <v>5</v>
      </c>
      <c r="H75" s="102" t="n">
        <v>4</v>
      </c>
      <c r="I75" s="190" t="n">
        <f aca="false">IFERROR(H75/G75,0)</f>
        <v>0.8</v>
      </c>
      <c r="J75" s="186" t="n">
        <f aca="false">IF(I75&gt;=0.95,5,IF(I75&gt;=0.8,4,IF(I75&gt;=0.65,3,IF(I75&gt;=0.5,2,1))))</f>
        <v>4</v>
      </c>
      <c r="K75" s="102" t="s">
        <v>578</v>
      </c>
    </row>
    <row r="76" customFormat="false" ht="15" hidden="false" customHeight="false" outlineLevel="0" collapsed="false">
      <c r="A76" s="106" t="s">
        <v>660</v>
      </c>
      <c r="B76" s="106" t="s">
        <v>369</v>
      </c>
      <c r="C76" s="179" t="s">
        <v>370</v>
      </c>
      <c r="D76" s="106" t="s">
        <v>11</v>
      </c>
      <c r="E76" s="179" t="s">
        <v>24</v>
      </c>
      <c r="F76" s="179" t="s">
        <v>590</v>
      </c>
      <c r="G76" s="106" t="n">
        <v>6</v>
      </c>
      <c r="H76" s="106" t="n">
        <v>2.4</v>
      </c>
      <c r="I76" s="191" t="n">
        <f aca="false">IFERROR(H76/G76,0)</f>
        <v>0.4</v>
      </c>
      <c r="J76" s="188" t="n">
        <f aca="false">IF(I76&gt;=0.95,5,IF(I76&gt;=0.8,4,IF(I76&gt;=0.65,3,IF(I76&gt;=0.5,2,1))))</f>
        <v>1</v>
      </c>
      <c r="K76" s="106" t="s">
        <v>581</v>
      </c>
    </row>
    <row r="77" customFormat="false" ht="15" hidden="false" customHeight="false" outlineLevel="0" collapsed="false">
      <c r="A77" s="102" t="s">
        <v>661</v>
      </c>
      <c r="B77" s="102" t="s">
        <v>369</v>
      </c>
      <c r="C77" s="177" t="s">
        <v>370</v>
      </c>
      <c r="D77" s="102" t="s">
        <v>11</v>
      </c>
      <c r="E77" s="177" t="s">
        <v>24</v>
      </c>
      <c r="F77" s="177" t="s">
        <v>586</v>
      </c>
      <c r="G77" s="102" t="n">
        <v>9</v>
      </c>
      <c r="H77" s="102" t="n">
        <v>8.1</v>
      </c>
      <c r="I77" s="190" t="n">
        <f aca="false">IFERROR(H77/G77,0)</f>
        <v>0.9</v>
      </c>
      <c r="J77" s="186" t="n">
        <f aca="false">IF(I77&gt;=0.95,5,IF(I77&gt;=0.8,4,IF(I77&gt;=0.65,3,IF(I77&gt;=0.5,2,1))))</f>
        <v>4</v>
      </c>
      <c r="K77" s="102" t="s">
        <v>578</v>
      </c>
    </row>
    <row r="78" customFormat="false" ht="15" hidden="false" customHeight="false" outlineLevel="0" collapsed="false">
      <c r="A78" s="106" t="s">
        <v>662</v>
      </c>
      <c r="B78" s="106" t="s">
        <v>369</v>
      </c>
      <c r="C78" s="179" t="s">
        <v>370</v>
      </c>
      <c r="D78" s="106" t="s">
        <v>11</v>
      </c>
      <c r="E78" s="179" t="s">
        <v>24</v>
      </c>
      <c r="F78" s="179" t="s">
        <v>577</v>
      </c>
      <c r="G78" s="106" t="n">
        <v>80</v>
      </c>
      <c r="H78" s="106" t="n">
        <v>72</v>
      </c>
      <c r="I78" s="191" t="n">
        <f aca="false">IFERROR(H78/G78,0)</f>
        <v>0.9</v>
      </c>
      <c r="J78" s="188" t="n">
        <f aca="false">IF(I78&gt;=0.95,5,IF(I78&gt;=0.8,4,IF(I78&gt;=0.65,3,IF(I78&gt;=0.5,2,1))))</f>
        <v>4</v>
      </c>
      <c r="K78" s="106" t="s">
        <v>578</v>
      </c>
    </row>
    <row r="79" customFormat="false" ht="15" hidden="false" customHeight="false" outlineLevel="0" collapsed="false">
      <c r="A79" s="102" t="s">
        <v>663</v>
      </c>
      <c r="B79" s="102" t="s">
        <v>369</v>
      </c>
      <c r="C79" s="177" t="s">
        <v>370</v>
      </c>
      <c r="D79" s="102" t="s">
        <v>11</v>
      </c>
      <c r="E79" s="177" t="s">
        <v>24</v>
      </c>
      <c r="F79" s="177" t="s">
        <v>595</v>
      </c>
      <c r="G79" s="102" t="n">
        <v>10</v>
      </c>
      <c r="H79" s="102" t="n">
        <v>5</v>
      </c>
      <c r="I79" s="190" t="n">
        <f aca="false">IFERROR(H79/G79,0)</f>
        <v>0.5</v>
      </c>
      <c r="J79" s="186" t="n">
        <f aca="false">IF(I79&gt;=0.95,5,IF(I79&gt;=0.8,4,IF(I79&gt;=0.65,3,IF(I79&gt;=0.5,2,1))))</f>
        <v>2</v>
      </c>
      <c r="K79" s="102" t="s">
        <v>581</v>
      </c>
    </row>
    <row r="80" customFormat="false" ht="15" hidden="false" customHeight="false" outlineLevel="0" collapsed="false">
      <c r="A80" s="106" t="s">
        <v>664</v>
      </c>
      <c r="B80" s="106" t="s">
        <v>372</v>
      </c>
      <c r="C80" s="179" t="s">
        <v>373</v>
      </c>
      <c r="D80" s="106" t="s">
        <v>11</v>
      </c>
      <c r="E80" s="179" t="s">
        <v>24</v>
      </c>
      <c r="F80" s="179" t="s">
        <v>595</v>
      </c>
      <c r="G80" s="106" t="n">
        <v>90</v>
      </c>
      <c r="H80" s="106" t="n">
        <v>72</v>
      </c>
      <c r="I80" s="191" t="n">
        <f aca="false">IFERROR(H80/G80,0)</f>
        <v>0.8</v>
      </c>
      <c r="J80" s="188" t="n">
        <f aca="false">IF(I80&gt;=0.95,5,IF(I80&gt;=0.8,4,IF(I80&gt;=0.65,3,IF(I80&gt;=0.5,2,1))))</f>
        <v>4</v>
      </c>
      <c r="K80" s="106" t="s">
        <v>578</v>
      </c>
    </row>
    <row r="81" customFormat="false" ht="15" hidden="false" customHeight="false" outlineLevel="0" collapsed="false">
      <c r="A81" s="102" t="s">
        <v>665</v>
      </c>
      <c r="B81" s="102" t="s">
        <v>372</v>
      </c>
      <c r="C81" s="177" t="s">
        <v>373</v>
      </c>
      <c r="D81" s="102" t="s">
        <v>11</v>
      </c>
      <c r="E81" s="177" t="s">
        <v>24</v>
      </c>
      <c r="F81" s="177" t="s">
        <v>577</v>
      </c>
      <c r="G81" s="102" t="n">
        <v>20</v>
      </c>
      <c r="H81" s="102" t="n">
        <v>20</v>
      </c>
      <c r="I81" s="190" t="n">
        <f aca="false">IFERROR(H81/G81,0)</f>
        <v>1</v>
      </c>
      <c r="J81" s="186" t="n">
        <f aca="false">IF(I81&gt;=0.95,5,IF(I81&gt;=0.8,4,IF(I81&gt;=0.65,3,IF(I81&gt;=0.5,2,1))))</f>
        <v>5</v>
      </c>
      <c r="K81" s="102" t="s">
        <v>601</v>
      </c>
    </row>
    <row r="82" customFormat="false" ht="15" hidden="false" customHeight="false" outlineLevel="0" collapsed="false">
      <c r="A82" s="106" t="s">
        <v>666</v>
      </c>
      <c r="B82" s="106" t="s">
        <v>372</v>
      </c>
      <c r="C82" s="179" t="s">
        <v>373</v>
      </c>
      <c r="D82" s="106" t="s">
        <v>11</v>
      </c>
      <c r="E82" s="179" t="s">
        <v>24</v>
      </c>
      <c r="F82" s="179" t="s">
        <v>583</v>
      </c>
      <c r="G82" s="106" t="n">
        <v>80</v>
      </c>
      <c r="H82" s="106" t="n">
        <v>64</v>
      </c>
      <c r="I82" s="191" t="n">
        <f aca="false">IFERROR(H82/G82,0)</f>
        <v>0.8</v>
      </c>
      <c r="J82" s="188" t="n">
        <f aca="false">IF(I82&gt;=0.95,5,IF(I82&gt;=0.8,4,IF(I82&gt;=0.65,3,IF(I82&gt;=0.5,2,1))))</f>
        <v>4</v>
      </c>
      <c r="K82" s="106" t="s">
        <v>578</v>
      </c>
    </row>
    <row r="83" customFormat="false" ht="15" hidden="false" customHeight="false" outlineLevel="0" collapsed="false">
      <c r="A83" s="102" t="s">
        <v>667</v>
      </c>
      <c r="B83" s="102" t="s">
        <v>375</v>
      </c>
      <c r="C83" s="177" t="s">
        <v>297</v>
      </c>
      <c r="D83" s="102" t="s">
        <v>11</v>
      </c>
      <c r="E83" s="177" t="s">
        <v>24</v>
      </c>
      <c r="F83" s="177" t="s">
        <v>595</v>
      </c>
      <c r="G83" s="102" t="n">
        <v>20</v>
      </c>
      <c r="H83" s="102" t="n">
        <v>14</v>
      </c>
      <c r="I83" s="190" t="n">
        <f aca="false">IFERROR(H83/G83,0)</f>
        <v>0.7</v>
      </c>
      <c r="J83" s="186" t="n">
        <f aca="false">IF(I83&gt;=0.95,5,IF(I83&gt;=0.8,4,IF(I83&gt;=0.65,3,IF(I83&gt;=0.5,2,1))))</f>
        <v>3</v>
      </c>
      <c r="K83" s="102" t="s">
        <v>578</v>
      </c>
    </row>
    <row r="84" customFormat="false" ht="15" hidden="false" customHeight="false" outlineLevel="0" collapsed="false">
      <c r="A84" s="106" t="s">
        <v>668</v>
      </c>
      <c r="B84" s="106" t="s">
        <v>375</v>
      </c>
      <c r="C84" s="179" t="s">
        <v>297</v>
      </c>
      <c r="D84" s="106" t="s">
        <v>11</v>
      </c>
      <c r="E84" s="179" t="s">
        <v>24</v>
      </c>
      <c r="F84" s="179" t="s">
        <v>586</v>
      </c>
      <c r="G84" s="106" t="n">
        <v>4</v>
      </c>
      <c r="H84" s="106" t="n">
        <v>3.2</v>
      </c>
      <c r="I84" s="191" t="n">
        <f aca="false">IFERROR(H84/G84,0)</f>
        <v>0.8</v>
      </c>
      <c r="J84" s="188" t="n">
        <f aca="false">IF(I84&gt;=0.95,5,IF(I84&gt;=0.8,4,IF(I84&gt;=0.65,3,IF(I84&gt;=0.5,2,1))))</f>
        <v>4</v>
      </c>
      <c r="K84" s="106" t="s">
        <v>578</v>
      </c>
    </row>
    <row r="85" customFormat="false" ht="15" hidden="false" customHeight="false" outlineLevel="0" collapsed="false">
      <c r="A85" s="102" t="s">
        <v>669</v>
      </c>
      <c r="B85" s="102" t="s">
        <v>376</v>
      </c>
      <c r="C85" s="177" t="s">
        <v>377</v>
      </c>
      <c r="D85" s="102" t="s">
        <v>11</v>
      </c>
      <c r="E85" s="177" t="s">
        <v>25</v>
      </c>
      <c r="F85" s="177" t="s">
        <v>603</v>
      </c>
      <c r="G85" s="102" t="n">
        <v>20</v>
      </c>
      <c r="H85" s="102" t="n">
        <v>18</v>
      </c>
      <c r="I85" s="190" t="n">
        <f aca="false">IFERROR(H85/G85,0)</f>
        <v>0.9</v>
      </c>
      <c r="J85" s="186" t="n">
        <f aca="false">IF(I85&gt;=0.95,5,IF(I85&gt;=0.8,4,IF(I85&gt;=0.65,3,IF(I85&gt;=0.5,2,1))))</f>
        <v>4</v>
      </c>
      <c r="K85" s="102" t="s">
        <v>578</v>
      </c>
    </row>
    <row r="86" customFormat="false" ht="15" hidden="false" customHeight="false" outlineLevel="0" collapsed="false">
      <c r="A86" s="106" t="s">
        <v>670</v>
      </c>
      <c r="B86" s="106" t="s">
        <v>376</v>
      </c>
      <c r="C86" s="179" t="s">
        <v>377</v>
      </c>
      <c r="D86" s="106" t="s">
        <v>11</v>
      </c>
      <c r="E86" s="179" t="s">
        <v>25</v>
      </c>
      <c r="F86" s="179" t="s">
        <v>586</v>
      </c>
      <c r="G86" s="106" t="n">
        <v>8</v>
      </c>
      <c r="H86" s="106" t="n">
        <v>6.4</v>
      </c>
      <c r="I86" s="191" t="n">
        <f aca="false">IFERROR(H86/G86,0)</f>
        <v>0.8</v>
      </c>
      <c r="J86" s="188" t="n">
        <f aca="false">IF(I86&gt;=0.95,5,IF(I86&gt;=0.8,4,IF(I86&gt;=0.65,3,IF(I86&gt;=0.5,2,1))))</f>
        <v>4</v>
      </c>
      <c r="K86" s="106" t="s">
        <v>578</v>
      </c>
    </row>
    <row r="87" customFormat="false" ht="15" hidden="false" customHeight="false" outlineLevel="0" collapsed="false">
      <c r="A87" s="102" t="s">
        <v>671</v>
      </c>
      <c r="B87" s="102" t="s">
        <v>376</v>
      </c>
      <c r="C87" s="177" t="s">
        <v>377</v>
      </c>
      <c r="D87" s="102" t="s">
        <v>11</v>
      </c>
      <c r="E87" s="177" t="s">
        <v>25</v>
      </c>
      <c r="F87" s="177" t="s">
        <v>598</v>
      </c>
      <c r="G87" s="102" t="n">
        <v>3</v>
      </c>
      <c r="H87" s="102" t="n">
        <v>2.4</v>
      </c>
      <c r="I87" s="190" t="n">
        <f aca="false">IFERROR(H87/G87,0)</f>
        <v>0.8</v>
      </c>
      <c r="J87" s="186" t="n">
        <f aca="false">IF(I87&gt;=0.95,5,IF(I87&gt;=0.8,4,IF(I87&gt;=0.65,3,IF(I87&gt;=0.5,2,1))))</f>
        <v>4</v>
      </c>
      <c r="K87" s="102" t="s">
        <v>578</v>
      </c>
    </row>
    <row r="88" customFormat="false" ht="15" hidden="false" customHeight="false" outlineLevel="0" collapsed="false">
      <c r="A88" s="106" t="s">
        <v>672</v>
      </c>
      <c r="B88" s="106" t="s">
        <v>379</v>
      </c>
      <c r="C88" s="179" t="s">
        <v>380</v>
      </c>
      <c r="D88" s="106" t="s">
        <v>11</v>
      </c>
      <c r="E88" s="179" t="s">
        <v>25</v>
      </c>
      <c r="F88" s="179" t="s">
        <v>580</v>
      </c>
      <c r="G88" s="106" t="n">
        <v>4</v>
      </c>
      <c r="H88" s="106" t="n">
        <v>2.8</v>
      </c>
      <c r="I88" s="191" t="n">
        <f aca="false">IFERROR(H88/G88,0)</f>
        <v>0.7</v>
      </c>
      <c r="J88" s="188" t="n">
        <f aca="false">IF(I88&gt;=0.95,5,IF(I88&gt;=0.8,4,IF(I88&gt;=0.65,3,IF(I88&gt;=0.5,2,1))))</f>
        <v>3</v>
      </c>
      <c r="K88" s="106" t="s">
        <v>578</v>
      </c>
    </row>
    <row r="89" customFormat="false" ht="15" hidden="false" customHeight="false" outlineLevel="0" collapsed="false">
      <c r="A89" s="102" t="s">
        <v>673</v>
      </c>
      <c r="B89" s="102" t="s">
        <v>379</v>
      </c>
      <c r="C89" s="177" t="s">
        <v>380</v>
      </c>
      <c r="D89" s="102" t="s">
        <v>11</v>
      </c>
      <c r="E89" s="177" t="s">
        <v>25</v>
      </c>
      <c r="F89" s="177" t="s">
        <v>588</v>
      </c>
      <c r="G89" s="102" t="n">
        <v>100</v>
      </c>
      <c r="H89" s="102" t="n">
        <v>90</v>
      </c>
      <c r="I89" s="190" t="n">
        <f aca="false">IFERROR(H89/G89,0)</f>
        <v>0.9</v>
      </c>
      <c r="J89" s="186" t="n">
        <f aca="false">IF(I89&gt;=0.95,5,IF(I89&gt;=0.8,4,IF(I89&gt;=0.65,3,IF(I89&gt;=0.5,2,1))))</f>
        <v>4</v>
      </c>
      <c r="K89" s="102" t="s">
        <v>578</v>
      </c>
    </row>
    <row r="90" customFormat="false" ht="15" hidden="false" customHeight="false" outlineLevel="0" collapsed="false">
      <c r="A90" s="106" t="s">
        <v>674</v>
      </c>
      <c r="B90" s="106" t="s">
        <v>379</v>
      </c>
      <c r="C90" s="179" t="s">
        <v>380</v>
      </c>
      <c r="D90" s="106" t="s">
        <v>11</v>
      </c>
      <c r="E90" s="179" t="s">
        <v>25</v>
      </c>
      <c r="F90" s="179" t="s">
        <v>598</v>
      </c>
      <c r="G90" s="106" t="n">
        <v>3</v>
      </c>
      <c r="H90" s="106" t="n">
        <v>3</v>
      </c>
      <c r="I90" s="191" t="n">
        <f aca="false">IFERROR(H90/G90,0)</f>
        <v>1</v>
      </c>
      <c r="J90" s="188" t="n">
        <f aca="false">IF(I90&gt;=0.95,5,IF(I90&gt;=0.8,4,IF(I90&gt;=0.65,3,IF(I90&gt;=0.5,2,1))))</f>
        <v>5</v>
      </c>
      <c r="K90" s="106" t="s">
        <v>601</v>
      </c>
    </row>
    <row r="91" customFormat="false" ht="15" hidden="false" customHeight="false" outlineLevel="0" collapsed="false">
      <c r="A91" s="102" t="s">
        <v>675</v>
      </c>
      <c r="B91" s="102" t="s">
        <v>379</v>
      </c>
      <c r="C91" s="177" t="s">
        <v>380</v>
      </c>
      <c r="D91" s="102" t="s">
        <v>11</v>
      </c>
      <c r="E91" s="177" t="s">
        <v>25</v>
      </c>
      <c r="F91" s="177" t="s">
        <v>590</v>
      </c>
      <c r="G91" s="102" t="n">
        <v>7</v>
      </c>
      <c r="H91" s="102" t="n">
        <v>6.3</v>
      </c>
      <c r="I91" s="190" t="n">
        <f aca="false">IFERROR(H91/G91,0)</f>
        <v>0.9</v>
      </c>
      <c r="J91" s="186" t="n">
        <f aca="false">IF(I91&gt;=0.95,5,IF(I91&gt;=0.8,4,IF(I91&gt;=0.65,3,IF(I91&gt;=0.5,2,1))))</f>
        <v>4</v>
      </c>
      <c r="K91" s="102" t="s">
        <v>578</v>
      </c>
    </row>
    <row r="92" customFormat="false" ht="15" hidden="false" customHeight="false" outlineLevel="0" collapsed="false">
      <c r="A92" s="106" t="s">
        <v>676</v>
      </c>
      <c r="B92" s="106" t="s">
        <v>382</v>
      </c>
      <c r="C92" s="179" t="s">
        <v>383</v>
      </c>
      <c r="D92" s="106" t="s">
        <v>11</v>
      </c>
      <c r="E92" s="179" t="s">
        <v>15</v>
      </c>
      <c r="F92" s="179" t="s">
        <v>588</v>
      </c>
      <c r="G92" s="106" t="n">
        <v>100</v>
      </c>
      <c r="H92" s="106" t="n">
        <v>80</v>
      </c>
      <c r="I92" s="191" t="n">
        <f aca="false">IFERROR(H92/G92,0)</f>
        <v>0.8</v>
      </c>
      <c r="J92" s="188" t="n">
        <f aca="false">IF(I92&gt;=0.95,5,IF(I92&gt;=0.8,4,IF(I92&gt;=0.65,3,IF(I92&gt;=0.5,2,1))))</f>
        <v>4</v>
      </c>
      <c r="K92" s="106" t="s">
        <v>578</v>
      </c>
    </row>
    <row r="93" customFormat="false" ht="15" hidden="false" customHeight="false" outlineLevel="0" collapsed="false">
      <c r="A93" s="102" t="s">
        <v>677</v>
      </c>
      <c r="B93" s="102" t="s">
        <v>382</v>
      </c>
      <c r="C93" s="177" t="s">
        <v>383</v>
      </c>
      <c r="D93" s="102" t="s">
        <v>11</v>
      </c>
      <c r="E93" s="177" t="s">
        <v>15</v>
      </c>
      <c r="F93" s="177" t="s">
        <v>590</v>
      </c>
      <c r="G93" s="102" t="n">
        <v>5</v>
      </c>
      <c r="H93" s="102" t="n">
        <v>4.5</v>
      </c>
      <c r="I93" s="190" t="n">
        <f aca="false">IFERROR(H93/G93,0)</f>
        <v>0.9</v>
      </c>
      <c r="J93" s="186" t="n">
        <f aca="false">IF(I93&gt;=0.95,5,IF(I93&gt;=0.8,4,IF(I93&gt;=0.65,3,IF(I93&gt;=0.5,2,1))))</f>
        <v>4</v>
      </c>
      <c r="K93" s="102" t="s">
        <v>578</v>
      </c>
    </row>
    <row r="94" customFormat="false" ht="15" hidden="false" customHeight="false" outlineLevel="0" collapsed="false">
      <c r="A94" s="106" t="s">
        <v>678</v>
      </c>
      <c r="B94" s="106" t="s">
        <v>161</v>
      </c>
      <c r="C94" s="179" t="s">
        <v>162</v>
      </c>
      <c r="D94" s="106" t="s">
        <v>11</v>
      </c>
      <c r="E94" s="179" t="s">
        <v>15</v>
      </c>
      <c r="F94" s="179" t="s">
        <v>588</v>
      </c>
      <c r="G94" s="106" t="n">
        <v>100</v>
      </c>
      <c r="H94" s="106" t="n">
        <v>80</v>
      </c>
      <c r="I94" s="191" t="n">
        <f aca="false">IFERROR(H94/G94,0)</f>
        <v>0.8</v>
      </c>
      <c r="J94" s="188" t="n">
        <f aca="false">IF(I94&gt;=0.95,5,IF(I94&gt;=0.8,4,IF(I94&gt;=0.65,3,IF(I94&gt;=0.5,2,1))))</f>
        <v>4</v>
      </c>
      <c r="K94" s="106" t="s">
        <v>578</v>
      </c>
    </row>
    <row r="95" customFormat="false" ht="15" hidden="false" customHeight="false" outlineLevel="0" collapsed="false">
      <c r="A95" s="102" t="s">
        <v>679</v>
      </c>
      <c r="B95" s="102" t="s">
        <v>161</v>
      </c>
      <c r="C95" s="177" t="s">
        <v>162</v>
      </c>
      <c r="D95" s="102" t="s">
        <v>11</v>
      </c>
      <c r="E95" s="177" t="s">
        <v>15</v>
      </c>
      <c r="F95" s="177" t="s">
        <v>577</v>
      </c>
      <c r="G95" s="102" t="n">
        <v>95</v>
      </c>
      <c r="H95" s="102" t="n">
        <v>66.5</v>
      </c>
      <c r="I95" s="190" t="n">
        <f aca="false">IFERROR(H95/G95,0)</f>
        <v>0.7</v>
      </c>
      <c r="J95" s="186" t="n">
        <f aca="false">IF(I95&gt;=0.95,5,IF(I95&gt;=0.8,4,IF(I95&gt;=0.65,3,IF(I95&gt;=0.5,2,1))))</f>
        <v>3</v>
      </c>
      <c r="K95" s="102" t="s">
        <v>578</v>
      </c>
    </row>
    <row r="96" customFormat="false" ht="15" hidden="false" customHeight="false" outlineLevel="0" collapsed="false">
      <c r="A96" s="106" t="s">
        <v>680</v>
      </c>
      <c r="B96" s="106" t="s">
        <v>161</v>
      </c>
      <c r="C96" s="179" t="s">
        <v>162</v>
      </c>
      <c r="D96" s="106" t="s">
        <v>11</v>
      </c>
      <c r="E96" s="179" t="s">
        <v>15</v>
      </c>
      <c r="F96" s="179" t="s">
        <v>595</v>
      </c>
      <c r="G96" s="106" t="n">
        <v>95</v>
      </c>
      <c r="H96" s="106" t="n">
        <v>66.5</v>
      </c>
      <c r="I96" s="191" t="n">
        <f aca="false">IFERROR(H96/G96,0)</f>
        <v>0.7</v>
      </c>
      <c r="J96" s="188" t="n">
        <f aca="false">IF(I96&gt;=0.95,5,IF(I96&gt;=0.8,4,IF(I96&gt;=0.65,3,IF(I96&gt;=0.5,2,1))))</f>
        <v>3</v>
      </c>
      <c r="K96" s="106" t="s">
        <v>578</v>
      </c>
    </row>
    <row r="97" customFormat="false" ht="15" hidden="false" customHeight="false" outlineLevel="0" collapsed="false">
      <c r="A97" s="102" t="s">
        <v>681</v>
      </c>
      <c r="B97" s="102" t="s">
        <v>161</v>
      </c>
      <c r="C97" s="177" t="s">
        <v>162</v>
      </c>
      <c r="D97" s="102" t="s">
        <v>11</v>
      </c>
      <c r="E97" s="177" t="s">
        <v>15</v>
      </c>
      <c r="F97" s="177" t="s">
        <v>598</v>
      </c>
      <c r="G97" s="102" t="n">
        <v>4</v>
      </c>
      <c r="H97" s="102" t="n">
        <v>3.2</v>
      </c>
      <c r="I97" s="190" t="n">
        <f aca="false">IFERROR(H97/G97,0)</f>
        <v>0.8</v>
      </c>
      <c r="J97" s="186" t="n">
        <f aca="false">IF(I97&gt;=0.95,5,IF(I97&gt;=0.8,4,IF(I97&gt;=0.65,3,IF(I97&gt;=0.5,2,1))))</f>
        <v>4</v>
      </c>
      <c r="K97" s="102" t="s">
        <v>578</v>
      </c>
    </row>
    <row r="98" customFormat="false" ht="15" hidden="false" customHeight="false" outlineLevel="0" collapsed="false">
      <c r="A98" s="106" t="s">
        <v>682</v>
      </c>
      <c r="B98" s="106" t="s">
        <v>388</v>
      </c>
      <c r="C98" s="179" t="s">
        <v>389</v>
      </c>
      <c r="D98" s="106" t="s">
        <v>11</v>
      </c>
      <c r="E98" s="179" t="s">
        <v>15</v>
      </c>
      <c r="F98" s="179" t="s">
        <v>580</v>
      </c>
      <c r="G98" s="106" t="n">
        <v>7</v>
      </c>
      <c r="H98" s="106" t="n">
        <v>6.3</v>
      </c>
      <c r="I98" s="191" t="n">
        <f aca="false">IFERROR(H98/G98,0)</f>
        <v>0.9</v>
      </c>
      <c r="J98" s="188" t="n">
        <f aca="false">IF(I98&gt;=0.95,5,IF(I98&gt;=0.8,4,IF(I98&gt;=0.65,3,IF(I98&gt;=0.5,2,1))))</f>
        <v>4</v>
      </c>
      <c r="K98" s="106" t="s">
        <v>578</v>
      </c>
    </row>
    <row r="99" customFormat="false" ht="15" hidden="false" customHeight="false" outlineLevel="0" collapsed="false">
      <c r="A99" s="102" t="s">
        <v>683</v>
      </c>
      <c r="B99" s="102" t="s">
        <v>388</v>
      </c>
      <c r="C99" s="177" t="s">
        <v>389</v>
      </c>
      <c r="D99" s="102" t="s">
        <v>11</v>
      </c>
      <c r="E99" s="177" t="s">
        <v>15</v>
      </c>
      <c r="F99" s="177" t="s">
        <v>586</v>
      </c>
      <c r="G99" s="102" t="n">
        <v>10</v>
      </c>
      <c r="H99" s="102" t="n">
        <v>10</v>
      </c>
      <c r="I99" s="190" t="n">
        <f aca="false">IFERROR(H99/G99,0)</f>
        <v>1</v>
      </c>
      <c r="J99" s="186" t="n">
        <f aca="false">IF(I99&gt;=0.95,5,IF(I99&gt;=0.8,4,IF(I99&gt;=0.65,3,IF(I99&gt;=0.5,2,1))))</f>
        <v>5</v>
      </c>
      <c r="K99" s="102" t="s">
        <v>601</v>
      </c>
    </row>
    <row r="100" customFormat="false" ht="15" hidden="false" customHeight="false" outlineLevel="0" collapsed="false">
      <c r="A100" s="106" t="s">
        <v>684</v>
      </c>
      <c r="B100" s="106" t="s">
        <v>388</v>
      </c>
      <c r="C100" s="179" t="s">
        <v>389</v>
      </c>
      <c r="D100" s="106" t="s">
        <v>11</v>
      </c>
      <c r="E100" s="179" t="s">
        <v>15</v>
      </c>
      <c r="F100" s="179" t="s">
        <v>603</v>
      </c>
      <c r="G100" s="106" t="n">
        <v>5</v>
      </c>
      <c r="H100" s="106" t="n">
        <v>4.5</v>
      </c>
      <c r="I100" s="191" t="n">
        <f aca="false">IFERROR(H100/G100,0)</f>
        <v>0.9</v>
      </c>
      <c r="J100" s="188" t="n">
        <f aca="false">IF(I100&gt;=0.95,5,IF(I100&gt;=0.8,4,IF(I100&gt;=0.65,3,IF(I100&gt;=0.5,2,1))))</f>
        <v>4</v>
      </c>
      <c r="K100" s="106" t="s">
        <v>578</v>
      </c>
    </row>
    <row r="101" customFormat="false" ht="15" hidden="false" customHeight="false" outlineLevel="0" collapsed="false">
      <c r="A101" s="102" t="s">
        <v>685</v>
      </c>
      <c r="B101" s="102" t="s">
        <v>388</v>
      </c>
      <c r="C101" s="177" t="s">
        <v>389</v>
      </c>
      <c r="D101" s="102" t="s">
        <v>11</v>
      </c>
      <c r="E101" s="177" t="s">
        <v>15</v>
      </c>
      <c r="F101" s="177" t="s">
        <v>588</v>
      </c>
      <c r="G101" s="102" t="n">
        <v>10</v>
      </c>
      <c r="H101" s="102" t="n">
        <v>9</v>
      </c>
      <c r="I101" s="190" t="n">
        <f aca="false">IFERROR(H101/G101,0)</f>
        <v>0.9</v>
      </c>
      <c r="J101" s="186" t="n">
        <f aca="false">IF(I101&gt;=0.95,5,IF(I101&gt;=0.8,4,IF(I101&gt;=0.65,3,IF(I101&gt;=0.5,2,1))))</f>
        <v>4</v>
      </c>
      <c r="K101" s="102" t="s">
        <v>578</v>
      </c>
    </row>
    <row r="102" customFormat="false" ht="15" hidden="false" customHeight="false" outlineLevel="0" collapsed="false">
      <c r="A102" s="106" t="s">
        <v>686</v>
      </c>
      <c r="B102" s="106" t="s">
        <v>390</v>
      </c>
      <c r="C102" s="179" t="s">
        <v>391</v>
      </c>
      <c r="D102" s="106" t="s">
        <v>11</v>
      </c>
      <c r="E102" s="179" t="s">
        <v>15</v>
      </c>
      <c r="F102" s="179" t="s">
        <v>583</v>
      </c>
      <c r="G102" s="106" t="n">
        <v>20</v>
      </c>
      <c r="H102" s="106" t="n">
        <v>10</v>
      </c>
      <c r="I102" s="191" t="n">
        <f aca="false">IFERROR(H102/G102,0)</f>
        <v>0.5</v>
      </c>
      <c r="J102" s="188" t="n">
        <f aca="false">IF(I102&gt;=0.95,5,IF(I102&gt;=0.8,4,IF(I102&gt;=0.65,3,IF(I102&gt;=0.5,2,1))))</f>
        <v>2</v>
      </c>
      <c r="K102" s="106" t="s">
        <v>581</v>
      </c>
    </row>
    <row r="103" customFormat="false" ht="15" hidden="false" customHeight="false" outlineLevel="0" collapsed="false">
      <c r="A103" s="102" t="s">
        <v>687</v>
      </c>
      <c r="B103" s="102" t="s">
        <v>390</v>
      </c>
      <c r="C103" s="177" t="s">
        <v>391</v>
      </c>
      <c r="D103" s="102" t="s">
        <v>11</v>
      </c>
      <c r="E103" s="177" t="s">
        <v>15</v>
      </c>
      <c r="F103" s="177" t="s">
        <v>603</v>
      </c>
      <c r="G103" s="102" t="n">
        <v>20</v>
      </c>
      <c r="H103" s="102" t="n">
        <v>14</v>
      </c>
      <c r="I103" s="190" t="n">
        <f aca="false">IFERROR(H103/G103,0)</f>
        <v>0.7</v>
      </c>
      <c r="J103" s="186" t="n">
        <f aca="false">IF(I103&gt;=0.95,5,IF(I103&gt;=0.8,4,IF(I103&gt;=0.65,3,IF(I103&gt;=0.5,2,1))))</f>
        <v>3</v>
      </c>
      <c r="K103" s="102" t="s">
        <v>578</v>
      </c>
    </row>
    <row r="104" customFormat="false" ht="15" hidden="false" customHeight="false" outlineLevel="0" collapsed="false">
      <c r="A104" s="106" t="s">
        <v>688</v>
      </c>
      <c r="B104" s="106" t="s">
        <v>390</v>
      </c>
      <c r="C104" s="179" t="s">
        <v>391</v>
      </c>
      <c r="D104" s="106" t="s">
        <v>11</v>
      </c>
      <c r="E104" s="179" t="s">
        <v>15</v>
      </c>
      <c r="F104" s="179" t="s">
        <v>577</v>
      </c>
      <c r="G104" s="106" t="n">
        <v>90</v>
      </c>
      <c r="H104" s="106" t="n">
        <v>72</v>
      </c>
      <c r="I104" s="191" t="n">
        <f aca="false">IFERROR(H104/G104,0)</f>
        <v>0.8</v>
      </c>
      <c r="J104" s="188" t="n">
        <f aca="false">IF(I104&gt;=0.95,5,IF(I104&gt;=0.8,4,IF(I104&gt;=0.65,3,IF(I104&gt;=0.5,2,1))))</f>
        <v>4</v>
      </c>
      <c r="K104" s="106" t="s">
        <v>578</v>
      </c>
    </row>
    <row r="105" customFormat="false" ht="15" hidden="false" customHeight="false" outlineLevel="0" collapsed="false">
      <c r="A105" s="102" t="s">
        <v>689</v>
      </c>
      <c r="B105" s="102" t="s">
        <v>163</v>
      </c>
      <c r="C105" s="177" t="s">
        <v>164</v>
      </c>
      <c r="D105" s="102" t="s">
        <v>11</v>
      </c>
      <c r="E105" s="177" t="s">
        <v>15</v>
      </c>
      <c r="F105" s="177" t="s">
        <v>595</v>
      </c>
      <c r="G105" s="102" t="n">
        <v>20</v>
      </c>
      <c r="H105" s="102" t="n">
        <v>16</v>
      </c>
      <c r="I105" s="190" t="n">
        <f aca="false">IFERROR(H105/G105,0)</f>
        <v>0.8</v>
      </c>
      <c r="J105" s="186" t="n">
        <f aca="false">IF(I105&gt;=0.95,5,IF(I105&gt;=0.8,4,IF(I105&gt;=0.65,3,IF(I105&gt;=0.5,2,1))))</f>
        <v>4</v>
      </c>
      <c r="K105" s="102" t="s">
        <v>578</v>
      </c>
    </row>
    <row r="106" customFormat="false" ht="15" hidden="false" customHeight="false" outlineLevel="0" collapsed="false">
      <c r="A106" s="106" t="s">
        <v>690</v>
      </c>
      <c r="B106" s="106" t="s">
        <v>163</v>
      </c>
      <c r="C106" s="179" t="s">
        <v>164</v>
      </c>
      <c r="D106" s="106" t="s">
        <v>11</v>
      </c>
      <c r="E106" s="179" t="s">
        <v>15</v>
      </c>
      <c r="F106" s="179" t="s">
        <v>598</v>
      </c>
      <c r="G106" s="106" t="n">
        <v>5</v>
      </c>
      <c r="H106" s="106" t="n">
        <v>5</v>
      </c>
      <c r="I106" s="191" t="n">
        <f aca="false">IFERROR(H106/G106,0)</f>
        <v>1</v>
      </c>
      <c r="J106" s="188" t="n">
        <f aca="false">IF(I106&gt;=0.95,5,IF(I106&gt;=0.8,4,IF(I106&gt;=0.65,3,IF(I106&gt;=0.5,2,1))))</f>
        <v>5</v>
      </c>
      <c r="K106" s="106" t="s">
        <v>601</v>
      </c>
    </row>
    <row r="107" customFormat="false" ht="15" hidden="false" customHeight="false" outlineLevel="0" collapsed="false">
      <c r="A107" s="102" t="s">
        <v>691</v>
      </c>
      <c r="B107" s="102" t="s">
        <v>163</v>
      </c>
      <c r="C107" s="177" t="s">
        <v>164</v>
      </c>
      <c r="D107" s="102" t="s">
        <v>11</v>
      </c>
      <c r="E107" s="177" t="s">
        <v>15</v>
      </c>
      <c r="F107" s="177" t="s">
        <v>583</v>
      </c>
      <c r="G107" s="102" t="n">
        <v>95</v>
      </c>
      <c r="H107" s="102" t="n">
        <v>66.5</v>
      </c>
      <c r="I107" s="190" t="n">
        <f aca="false">IFERROR(H107/G107,0)</f>
        <v>0.7</v>
      </c>
      <c r="J107" s="186" t="n">
        <f aca="false">IF(I107&gt;=0.95,5,IF(I107&gt;=0.8,4,IF(I107&gt;=0.65,3,IF(I107&gt;=0.5,2,1))))</f>
        <v>3</v>
      </c>
      <c r="K107" s="102" t="s">
        <v>578</v>
      </c>
    </row>
    <row r="108" customFormat="false" ht="15" hidden="false" customHeight="false" outlineLevel="0" collapsed="false">
      <c r="A108" s="106" t="s">
        <v>692</v>
      </c>
      <c r="B108" s="106" t="s">
        <v>163</v>
      </c>
      <c r="C108" s="179" t="s">
        <v>164</v>
      </c>
      <c r="D108" s="106" t="s">
        <v>11</v>
      </c>
      <c r="E108" s="179" t="s">
        <v>15</v>
      </c>
      <c r="F108" s="179" t="s">
        <v>603</v>
      </c>
      <c r="G108" s="106" t="n">
        <v>90</v>
      </c>
      <c r="H108" s="106" t="n">
        <v>90</v>
      </c>
      <c r="I108" s="191" t="n">
        <f aca="false">IFERROR(H108/G108,0)</f>
        <v>1</v>
      </c>
      <c r="J108" s="188" t="n">
        <f aca="false">IF(I108&gt;=0.95,5,IF(I108&gt;=0.8,4,IF(I108&gt;=0.65,3,IF(I108&gt;=0.5,2,1))))</f>
        <v>5</v>
      </c>
      <c r="K108" s="106" t="s">
        <v>601</v>
      </c>
    </row>
    <row r="109" customFormat="false" ht="15" hidden="false" customHeight="false" outlineLevel="0" collapsed="false">
      <c r="A109" s="102" t="s">
        <v>693</v>
      </c>
      <c r="B109" s="102" t="s">
        <v>68</v>
      </c>
      <c r="C109" s="177" t="s">
        <v>69</v>
      </c>
      <c r="D109" s="102" t="s">
        <v>11</v>
      </c>
      <c r="E109" s="177" t="s">
        <v>15</v>
      </c>
      <c r="F109" s="177" t="s">
        <v>590</v>
      </c>
      <c r="G109" s="102" t="n">
        <v>10</v>
      </c>
      <c r="H109" s="102" t="n">
        <v>4</v>
      </c>
      <c r="I109" s="190" t="n">
        <f aca="false">IFERROR(H109/G109,0)</f>
        <v>0.4</v>
      </c>
      <c r="J109" s="186" t="n">
        <f aca="false">IF(I109&gt;=0.95,5,IF(I109&gt;=0.8,4,IF(I109&gt;=0.65,3,IF(I109&gt;=0.5,2,1))))</f>
        <v>1</v>
      </c>
      <c r="K109" s="102" t="s">
        <v>581</v>
      </c>
    </row>
    <row r="110" customFormat="false" ht="15" hidden="false" customHeight="false" outlineLevel="0" collapsed="false">
      <c r="A110" s="106" t="s">
        <v>694</v>
      </c>
      <c r="B110" s="106" t="s">
        <v>68</v>
      </c>
      <c r="C110" s="179" t="s">
        <v>69</v>
      </c>
      <c r="D110" s="106" t="s">
        <v>11</v>
      </c>
      <c r="E110" s="179" t="s">
        <v>15</v>
      </c>
      <c r="F110" s="179" t="s">
        <v>580</v>
      </c>
      <c r="G110" s="106" t="n">
        <v>8</v>
      </c>
      <c r="H110" s="106" t="n">
        <v>4.8</v>
      </c>
      <c r="I110" s="191" t="n">
        <f aca="false">IFERROR(H110/G110,0)</f>
        <v>0.6</v>
      </c>
      <c r="J110" s="188" t="n">
        <f aca="false">IF(I110&gt;=0.95,5,IF(I110&gt;=0.8,4,IF(I110&gt;=0.65,3,IF(I110&gt;=0.5,2,1))))</f>
        <v>2</v>
      </c>
      <c r="K110" s="106" t="s">
        <v>581</v>
      </c>
    </row>
    <row r="111" customFormat="false" ht="15" hidden="false" customHeight="false" outlineLevel="0" collapsed="false">
      <c r="A111" s="102" t="s">
        <v>695</v>
      </c>
      <c r="B111" s="102" t="s">
        <v>68</v>
      </c>
      <c r="C111" s="177" t="s">
        <v>69</v>
      </c>
      <c r="D111" s="102" t="s">
        <v>11</v>
      </c>
      <c r="E111" s="177" t="s">
        <v>15</v>
      </c>
      <c r="F111" s="177" t="s">
        <v>595</v>
      </c>
      <c r="G111" s="102" t="n">
        <v>80</v>
      </c>
      <c r="H111" s="102" t="n">
        <v>80</v>
      </c>
      <c r="I111" s="190" t="n">
        <f aca="false">IFERROR(H111/G111,0)</f>
        <v>1</v>
      </c>
      <c r="J111" s="186" t="n">
        <f aca="false">IF(I111&gt;=0.95,5,IF(I111&gt;=0.8,4,IF(I111&gt;=0.65,3,IF(I111&gt;=0.5,2,1))))</f>
        <v>5</v>
      </c>
      <c r="K111" s="102" t="s">
        <v>601</v>
      </c>
    </row>
    <row r="112" customFormat="false" ht="15" hidden="false" customHeight="false" outlineLevel="0" collapsed="false">
      <c r="A112" s="106" t="s">
        <v>696</v>
      </c>
      <c r="B112" s="106" t="s">
        <v>68</v>
      </c>
      <c r="C112" s="179" t="s">
        <v>69</v>
      </c>
      <c r="D112" s="106" t="s">
        <v>11</v>
      </c>
      <c r="E112" s="179" t="s">
        <v>15</v>
      </c>
      <c r="F112" s="179" t="s">
        <v>577</v>
      </c>
      <c r="G112" s="106" t="n">
        <v>20</v>
      </c>
      <c r="H112" s="106" t="n">
        <v>14</v>
      </c>
      <c r="I112" s="191" t="n">
        <f aca="false">IFERROR(H112/G112,0)</f>
        <v>0.7</v>
      </c>
      <c r="J112" s="188" t="n">
        <f aca="false">IF(I112&gt;=0.95,5,IF(I112&gt;=0.8,4,IF(I112&gt;=0.65,3,IF(I112&gt;=0.5,2,1))))</f>
        <v>3</v>
      </c>
      <c r="K112" s="106" t="s">
        <v>578</v>
      </c>
    </row>
    <row r="113" customFormat="false" ht="15" hidden="false" customHeight="false" outlineLevel="0" collapsed="false">
      <c r="A113" s="102" t="s">
        <v>697</v>
      </c>
      <c r="B113" s="102" t="s">
        <v>80</v>
      </c>
      <c r="C113" s="177" t="s">
        <v>81</v>
      </c>
      <c r="D113" s="102" t="s">
        <v>11</v>
      </c>
      <c r="E113" s="177" t="s">
        <v>15</v>
      </c>
      <c r="F113" s="177" t="s">
        <v>592</v>
      </c>
      <c r="G113" s="102" t="n">
        <v>7</v>
      </c>
      <c r="H113" s="102" t="n">
        <v>5.6</v>
      </c>
      <c r="I113" s="190" t="n">
        <f aca="false">IFERROR(H113/G113,0)</f>
        <v>0.8</v>
      </c>
      <c r="J113" s="186" t="n">
        <f aca="false">IF(I113&gt;=0.95,5,IF(I113&gt;=0.8,4,IF(I113&gt;=0.65,3,IF(I113&gt;=0.5,2,1))))</f>
        <v>4</v>
      </c>
      <c r="K113" s="102" t="s">
        <v>578</v>
      </c>
    </row>
    <row r="114" customFormat="false" ht="15" hidden="false" customHeight="false" outlineLevel="0" collapsed="false">
      <c r="A114" s="106" t="s">
        <v>698</v>
      </c>
      <c r="B114" s="106" t="s">
        <v>80</v>
      </c>
      <c r="C114" s="179" t="s">
        <v>81</v>
      </c>
      <c r="D114" s="106" t="s">
        <v>11</v>
      </c>
      <c r="E114" s="179" t="s">
        <v>15</v>
      </c>
      <c r="F114" s="179" t="s">
        <v>598</v>
      </c>
      <c r="G114" s="106" t="n">
        <v>8</v>
      </c>
      <c r="H114" s="106" t="n">
        <v>5.6</v>
      </c>
      <c r="I114" s="191" t="n">
        <f aca="false">IFERROR(H114/G114,0)</f>
        <v>0.7</v>
      </c>
      <c r="J114" s="188" t="n">
        <f aca="false">IF(I114&gt;=0.95,5,IF(I114&gt;=0.8,4,IF(I114&gt;=0.65,3,IF(I114&gt;=0.5,2,1))))</f>
        <v>3</v>
      </c>
      <c r="K114" s="106" t="s">
        <v>578</v>
      </c>
    </row>
    <row r="115" customFormat="false" ht="15" hidden="false" customHeight="false" outlineLevel="0" collapsed="false">
      <c r="A115" s="102" t="s">
        <v>699</v>
      </c>
      <c r="B115" s="102" t="s">
        <v>80</v>
      </c>
      <c r="C115" s="177" t="s">
        <v>81</v>
      </c>
      <c r="D115" s="102" t="s">
        <v>11</v>
      </c>
      <c r="E115" s="177" t="s">
        <v>15</v>
      </c>
      <c r="F115" s="177" t="s">
        <v>586</v>
      </c>
      <c r="G115" s="102" t="n">
        <v>9</v>
      </c>
      <c r="H115" s="102" t="n">
        <v>5.4</v>
      </c>
      <c r="I115" s="190" t="n">
        <f aca="false">IFERROR(H115/G115,0)</f>
        <v>0.6</v>
      </c>
      <c r="J115" s="186" t="n">
        <f aca="false">IF(I115&gt;=0.95,5,IF(I115&gt;=0.8,4,IF(I115&gt;=0.65,3,IF(I115&gt;=0.5,2,1))))</f>
        <v>2</v>
      </c>
      <c r="K115" s="102" t="s">
        <v>581</v>
      </c>
    </row>
    <row r="116" customFormat="false" ht="15" hidden="false" customHeight="false" outlineLevel="0" collapsed="false">
      <c r="A116" s="106" t="s">
        <v>700</v>
      </c>
      <c r="B116" s="106" t="s">
        <v>80</v>
      </c>
      <c r="C116" s="179" t="s">
        <v>81</v>
      </c>
      <c r="D116" s="106" t="s">
        <v>11</v>
      </c>
      <c r="E116" s="179" t="s">
        <v>15</v>
      </c>
      <c r="F116" s="179" t="s">
        <v>583</v>
      </c>
      <c r="G116" s="106" t="n">
        <v>80</v>
      </c>
      <c r="H116" s="106" t="n">
        <v>56</v>
      </c>
      <c r="I116" s="191" t="n">
        <f aca="false">IFERROR(H116/G116,0)</f>
        <v>0.7</v>
      </c>
      <c r="J116" s="188" t="n">
        <f aca="false">IF(I116&gt;=0.95,5,IF(I116&gt;=0.8,4,IF(I116&gt;=0.65,3,IF(I116&gt;=0.5,2,1))))</f>
        <v>3</v>
      </c>
      <c r="K116" s="106" t="s">
        <v>578</v>
      </c>
    </row>
    <row r="117" customFormat="false" ht="15" hidden="false" customHeight="false" outlineLevel="0" collapsed="false">
      <c r="A117" s="102" t="s">
        <v>701</v>
      </c>
      <c r="B117" s="102" t="s">
        <v>395</v>
      </c>
      <c r="C117" s="177" t="s">
        <v>396</v>
      </c>
      <c r="D117" s="102" t="s">
        <v>11</v>
      </c>
      <c r="E117" s="177" t="s">
        <v>16</v>
      </c>
      <c r="F117" s="177" t="s">
        <v>603</v>
      </c>
      <c r="G117" s="102" t="n">
        <v>95</v>
      </c>
      <c r="H117" s="102" t="n">
        <v>47.5</v>
      </c>
      <c r="I117" s="190" t="n">
        <f aca="false">IFERROR(H117/G117,0)</f>
        <v>0.5</v>
      </c>
      <c r="J117" s="186" t="n">
        <f aca="false">IF(I117&gt;=0.95,5,IF(I117&gt;=0.8,4,IF(I117&gt;=0.65,3,IF(I117&gt;=0.5,2,1))))</f>
        <v>2</v>
      </c>
      <c r="K117" s="102" t="s">
        <v>581</v>
      </c>
    </row>
    <row r="118" customFormat="false" ht="15" hidden="false" customHeight="false" outlineLevel="0" collapsed="false">
      <c r="A118" s="106" t="s">
        <v>702</v>
      </c>
      <c r="B118" s="106" t="s">
        <v>395</v>
      </c>
      <c r="C118" s="179" t="s">
        <v>396</v>
      </c>
      <c r="D118" s="106" t="s">
        <v>11</v>
      </c>
      <c r="E118" s="179" t="s">
        <v>16</v>
      </c>
      <c r="F118" s="179" t="s">
        <v>590</v>
      </c>
      <c r="G118" s="106" t="n">
        <v>4</v>
      </c>
      <c r="H118" s="106" t="n">
        <v>3.2</v>
      </c>
      <c r="I118" s="191" t="n">
        <f aca="false">IFERROR(H118/G118,0)</f>
        <v>0.8</v>
      </c>
      <c r="J118" s="188" t="n">
        <f aca="false">IF(I118&gt;=0.95,5,IF(I118&gt;=0.8,4,IF(I118&gt;=0.65,3,IF(I118&gt;=0.5,2,1))))</f>
        <v>4</v>
      </c>
      <c r="K118" s="106" t="s">
        <v>578</v>
      </c>
    </row>
    <row r="119" customFormat="false" ht="15" hidden="false" customHeight="false" outlineLevel="0" collapsed="false">
      <c r="A119" s="102" t="s">
        <v>703</v>
      </c>
      <c r="B119" s="102" t="s">
        <v>84</v>
      </c>
      <c r="C119" s="177" t="s">
        <v>85</v>
      </c>
      <c r="D119" s="102" t="s">
        <v>11</v>
      </c>
      <c r="E119" s="177" t="s">
        <v>16</v>
      </c>
      <c r="F119" s="177" t="s">
        <v>580</v>
      </c>
      <c r="G119" s="102" t="n">
        <v>3</v>
      </c>
      <c r="H119" s="102" t="n">
        <v>1.5</v>
      </c>
      <c r="I119" s="190" t="n">
        <f aca="false">IFERROR(H119/G119,0)</f>
        <v>0.5</v>
      </c>
      <c r="J119" s="186" t="n">
        <f aca="false">IF(I119&gt;=0.95,5,IF(I119&gt;=0.8,4,IF(I119&gt;=0.65,3,IF(I119&gt;=0.5,2,1))))</f>
        <v>2</v>
      </c>
      <c r="K119" s="102" t="s">
        <v>581</v>
      </c>
    </row>
    <row r="120" customFormat="false" ht="15" hidden="false" customHeight="false" outlineLevel="0" collapsed="false">
      <c r="A120" s="106" t="s">
        <v>704</v>
      </c>
      <c r="B120" s="106" t="s">
        <v>84</v>
      </c>
      <c r="C120" s="179" t="s">
        <v>85</v>
      </c>
      <c r="D120" s="106" t="s">
        <v>11</v>
      </c>
      <c r="E120" s="179" t="s">
        <v>16</v>
      </c>
      <c r="F120" s="179" t="s">
        <v>586</v>
      </c>
      <c r="G120" s="106" t="n">
        <v>10</v>
      </c>
      <c r="H120" s="106" t="n">
        <v>10</v>
      </c>
      <c r="I120" s="191" t="n">
        <f aca="false">IFERROR(H120/G120,0)</f>
        <v>1</v>
      </c>
      <c r="J120" s="188" t="n">
        <f aca="false">IF(I120&gt;=0.95,5,IF(I120&gt;=0.8,4,IF(I120&gt;=0.65,3,IF(I120&gt;=0.5,2,1))))</f>
        <v>5</v>
      </c>
      <c r="K120" s="106" t="s">
        <v>601</v>
      </c>
    </row>
    <row r="121" customFormat="false" ht="15" hidden="false" customHeight="false" outlineLevel="0" collapsed="false">
      <c r="A121" s="102" t="s">
        <v>705</v>
      </c>
      <c r="B121" s="102" t="s">
        <v>84</v>
      </c>
      <c r="C121" s="177" t="s">
        <v>85</v>
      </c>
      <c r="D121" s="102" t="s">
        <v>11</v>
      </c>
      <c r="E121" s="177" t="s">
        <v>16</v>
      </c>
      <c r="F121" s="177" t="s">
        <v>598</v>
      </c>
      <c r="G121" s="102" t="n">
        <v>5</v>
      </c>
      <c r="H121" s="102" t="n">
        <v>4.5</v>
      </c>
      <c r="I121" s="190" t="n">
        <f aca="false">IFERROR(H121/G121,0)</f>
        <v>0.9</v>
      </c>
      <c r="J121" s="186" t="n">
        <f aca="false">IF(I121&gt;=0.95,5,IF(I121&gt;=0.8,4,IF(I121&gt;=0.65,3,IF(I121&gt;=0.5,2,1))))</f>
        <v>4</v>
      </c>
      <c r="K121" s="102" t="s">
        <v>578</v>
      </c>
    </row>
    <row r="122" customFormat="false" ht="15" hidden="false" customHeight="false" outlineLevel="0" collapsed="false">
      <c r="A122" s="106" t="s">
        <v>706</v>
      </c>
      <c r="B122" s="106" t="s">
        <v>84</v>
      </c>
      <c r="C122" s="179" t="s">
        <v>85</v>
      </c>
      <c r="D122" s="106" t="s">
        <v>11</v>
      </c>
      <c r="E122" s="179" t="s">
        <v>16</v>
      </c>
      <c r="F122" s="179" t="s">
        <v>577</v>
      </c>
      <c r="G122" s="106" t="n">
        <v>10</v>
      </c>
      <c r="H122" s="106" t="n">
        <v>5</v>
      </c>
      <c r="I122" s="191" t="n">
        <f aca="false">IFERROR(H122/G122,0)</f>
        <v>0.5</v>
      </c>
      <c r="J122" s="188" t="n">
        <f aca="false">IF(I122&gt;=0.95,5,IF(I122&gt;=0.8,4,IF(I122&gt;=0.65,3,IF(I122&gt;=0.5,2,1))))</f>
        <v>2</v>
      </c>
      <c r="K122" s="106" t="s">
        <v>581</v>
      </c>
    </row>
    <row r="123" customFormat="false" ht="15" hidden="false" customHeight="false" outlineLevel="0" collapsed="false">
      <c r="A123" s="102" t="s">
        <v>707</v>
      </c>
      <c r="B123" s="102" t="s">
        <v>399</v>
      </c>
      <c r="C123" s="177" t="s">
        <v>400</v>
      </c>
      <c r="D123" s="102" t="s">
        <v>11</v>
      </c>
      <c r="E123" s="177" t="s">
        <v>16</v>
      </c>
      <c r="F123" s="177" t="s">
        <v>595</v>
      </c>
      <c r="G123" s="102" t="n">
        <v>100</v>
      </c>
      <c r="H123" s="102" t="n">
        <v>80</v>
      </c>
      <c r="I123" s="190" t="n">
        <f aca="false">IFERROR(H123/G123,0)</f>
        <v>0.8</v>
      </c>
      <c r="J123" s="186" t="n">
        <f aca="false">IF(I123&gt;=0.95,5,IF(I123&gt;=0.8,4,IF(I123&gt;=0.65,3,IF(I123&gt;=0.5,2,1))))</f>
        <v>4</v>
      </c>
      <c r="K123" s="102" t="s">
        <v>578</v>
      </c>
    </row>
    <row r="124" customFormat="false" ht="15" hidden="false" customHeight="false" outlineLevel="0" collapsed="false">
      <c r="A124" s="106" t="s">
        <v>708</v>
      </c>
      <c r="B124" s="106" t="s">
        <v>399</v>
      </c>
      <c r="C124" s="179" t="s">
        <v>400</v>
      </c>
      <c r="D124" s="106" t="s">
        <v>11</v>
      </c>
      <c r="E124" s="179" t="s">
        <v>16</v>
      </c>
      <c r="F124" s="179" t="s">
        <v>586</v>
      </c>
      <c r="G124" s="106" t="n">
        <v>3</v>
      </c>
      <c r="H124" s="106" t="n">
        <v>2.1</v>
      </c>
      <c r="I124" s="191" t="n">
        <f aca="false">IFERROR(H124/G124,0)</f>
        <v>0.7</v>
      </c>
      <c r="J124" s="188" t="n">
        <f aca="false">IF(I124&gt;=0.95,5,IF(I124&gt;=0.8,4,IF(I124&gt;=0.65,3,IF(I124&gt;=0.5,2,1))))</f>
        <v>3</v>
      </c>
      <c r="K124" s="106" t="s">
        <v>578</v>
      </c>
    </row>
    <row r="125" customFormat="false" ht="15" hidden="false" customHeight="false" outlineLevel="0" collapsed="false">
      <c r="A125" s="102" t="s">
        <v>709</v>
      </c>
      <c r="B125" s="102" t="s">
        <v>399</v>
      </c>
      <c r="C125" s="177" t="s">
        <v>400</v>
      </c>
      <c r="D125" s="102" t="s">
        <v>11</v>
      </c>
      <c r="E125" s="177" t="s">
        <v>16</v>
      </c>
      <c r="F125" s="177" t="s">
        <v>598</v>
      </c>
      <c r="G125" s="102" t="n">
        <v>10</v>
      </c>
      <c r="H125" s="102" t="n">
        <v>8</v>
      </c>
      <c r="I125" s="190" t="n">
        <f aca="false">IFERROR(H125/G125,0)</f>
        <v>0.8</v>
      </c>
      <c r="J125" s="186" t="n">
        <f aca="false">IF(I125&gt;=0.95,5,IF(I125&gt;=0.8,4,IF(I125&gt;=0.65,3,IF(I125&gt;=0.5,2,1))))</f>
        <v>4</v>
      </c>
      <c r="K125" s="102" t="s">
        <v>578</v>
      </c>
    </row>
    <row r="126" customFormat="false" ht="15" hidden="false" customHeight="false" outlineLevel="0" collapsed="false">
      <c r="A126" s="106" t="s">
        <v>710</v>
      </c>
      <c r="B126" s="106" t="s">
        <v>399</v>
      </c>
      <c r="C126" s="179" t="s">
        <v>400</v>
      </c>
      <c r="D126" s="106" t="s">
        <v>11</v>
      </c>
      <c r="E126" s="179" t="s">
        <v>16</v>
      </c>
      <c r="F126" s="179" t="s">
        <v>590</v>
      </c>
      <c r="G126" s="106" t="n">
        <v>8</v>
      </c>
      <c r="H126" s="106" t="n">
        <v>8</v>
      </c>
      <c r="I126" s="191" t="n">
        <f aca="false">IFERROR(H126/G126,0)</f>
        <v>1</v>
      </c>
      <c r="J126" s="188" t="n">
        <f aca="false">IF(I126&gt;=0.95,5,IF(I126&gt;=0.8,4,IF(I126&gt;=0.65,3,IF(I126&gt;=0.5,2,1))))</f>
        <v>5</v>
      </c>
      <c r="K126" s="106" t="s">
        <v>601</v>
      </c>
    </row>
    <row r="127" customFormat="false" ht="15" hidden="false" customHeight="false" outlineLevel="0" collapsed="false">
      <c r="A127" s="102" t="s">
        <v>711</v>
      </c>
      <c r="B127" s="102" t="s">
        <v>402</v>
      </c>
      <c r="C127" s="177" t="s">
        <v>403</v>
      </c>
      <c r="D127" s="102" t="s">
        <v>11</v>
      </c>
      <c r="E127" s="177" t="s">
        <v>16</v>
      </c>
      <c r="F127" s="177" t="s">
        <v>592</v>
      </c>
      <c r="G127" s="102" t="n">
        <v>6</v>
      </c>
      <c r="H127" s="102" t="n">
        <v>2.4</v>
      </c>
      <c r="I127" s="190" t="n">
        <f aca="false">IFERROR(H127/G127,0)</f>
        <v>0.4</v>
      </c>
      <c r="J127" s="186" t="n">
        <f aca="false">IF(I127&gt;=0.95,5,IF(I127&gt;=0.8,4,IF(I127&gt;=0.65,3,IF(I127&gt;=0.5,2,1))))</f>
        <v>1</v>
      </c>
      <c r="K127" s="102" t="s">
        <v>581</v>
      </c>
    </row>
    <row r="128" customFormat="false" ht="15" hidden="false" customHeight="false" outlineLevel="0" collapsed="false">
      <c r="A128" s="106" t="s">
        <v>712</v>
      </c>
      <c r="B128" s="106" t="s">
        <v>402</v>
      </c>
      <c r="C128" s="179" t="s">
        <v>403</v>
      </c>
      <c r="D128" s="106" t="s">
        <v>11</v>
      </c>
      <c r="E128" s="179" t="s">
        <v>16</v>
      </c>
      <c r="F128" s="179" t="s">
        <v>583</v>
      </c>
      <c r="G128" s="106" t="n">
        <v>80</v>
      </c>
      <c r="H128" s="106" t="n">
        <v>56</v>
      </c>
      <c r="I128" s="191" t="n">
        <f aca="false">IFERROR(H128/G128,0)</f>
        <v>0.7</v>
      </c>
      <c r="J128" s="188" t="n">
        <f aca="false">IF(I128&gt;=0.95,5,IF(I128&gt;=0.8,4,IF(I128&gt;=0.65,3,IF(I128&gt;=0.5,2,1))))</f>
        <v>3</v>
      </c>
      <c r="K128" s="106" t="s">
        <v>578</v>
      </c>
    </row>
    <row r="129" customFormat="false" ht="15" hidden="false" customHeight="false" outlineLevel="0" collapsed="false">
      <c r="A129" s="102" t="s">
        <v>713</v>
      </c>
      <c r="B129" s="102" t="s">
        <v>402</v>
      </c>
      <c r="C129" s="177" t="s">
        <v>403</v>
      </c>
      <c r="D129" s="102" t="s">
        <v>11</v>
      </c>
      <c r="E129" s="177" t="s">
        <v>16</v>
      </c>
      <c r="F129" s="177" t="s">
        <v>586</v>
      </c>
      <c r="G129" s="102" t="n">
        <v>3</v>
      </c>
      <c r="H129" s="102" t="n">
        <v>2.1</v>
      </c>
      <c r="I129" s="190" t="n">
        <f aca="false">IFERROR(H129/G129,0)</f>
        <v>0.7</v>
      </c>
      <c r="J129" s="186" t="n">
        <f aca="false">IF(I129&gt;=0.95,5,IF(I129&gt;=0.8,4,IF(I129&gt;=0.65,3,IF(I129&gt;=0.5,2,1))))</f>
        <v>3</v>
      </c>
      <c r="K129" s="102" t="s">
        <v>578</v>
      </c>
    </row>
    <row r="130" customFormat="false" ht="15" hidden="false" customHeight="false" outlineLevel="0" collapsed="false">
      <c r="A130" s="106" t="s">
        <v>714</v>
      </c>
      <c r="B130" s="106" t="s">
        <v>402</v>
      </c>
      <c r="C130" s="179" t="s">
        <v>403</v>
      </c>
      <c r="D130" s="106" t="s">
        <v>11</v>
      </c>
      <c r="E130" s="179" t="s">
        <v>16</v>
      </c>
      <c r="F130" s="179" t="s">
        <v>595</v>
      </c>
      <c r="G130" s="106" t="n">
        <v>90</v>
      </c>
      <c r="H130" s="106" t="n">
        <v>63</v>
      </c>
      <c r="I130" s="191" t="n">
        <f aca="false">IFERROR(H130/G130,0)</f>
        <v>0.7</v>
      </c>
      <c r="J130" s="188" t="n">
        <f aca="false">IF(I130&gt;=0.95,5,IF(I130&gt;=0.8,4,IF(I130&gt;=0.65,3,IF(I130&gt;=0.5,2,1))))</f>
        <v>3</v>
      </c>
      <c r="K130" s="106" t="s">
        <v>578</v>
      </c>
    </row>
    <row r="131" customFormat="false" ht="15" hidden="false" customHeight="false" outlineLevel="0" collapsed="false">
      <c r="A131" s="102" t="s">
        <v>715</v>
      </c>
      <c r="B131" s="102" t="s">
        <v>404</v>
      </c>
      <c r="C131" s="177" t="s">
        <v>405</v>
      </c>
      <c r="D131" s="102" t="s">
        <v>11</v>
      </c>
      <c r="E131" s="177" t="s">
        <v>16</v>
      </c>
      <c r="F131" s="177" t="s">
        <v>590</v>
      </c>
      <c r="G131" s="102" t="n">
        <v>6</v>
      </c>
      <c r="H131" s="102" t="n">
        <v>3.6</v>
      </c>
      <c r="I131" s="190" t="n">
        <f aca="false">IFERROR(H131/G131,0)</f>
        <v>0.6</v>
      </c>
      <c r="J131" s="186" t="n">
        <f aca="false">IF(I131&gt;=0.95,5,IF(I131&gt;=0.8,4,IF(I131&gt;=0.65,3,IF(I131&gt;=0.5,2,1))))</f>
        <v>2</v>
      </c>
      <c r="K131" s="102" t="s">
        <v>581</v>
      </c>
    </row>
    <row r="132" customFormat="false" ht="15" hidden="false" customHeight="false" outlineLevel="0" collapsed="false">
      <c r="A132" s="106" t="s">
        <v>716</v>
      </c>
      <c r="B132" s="106" t="s">
        <v>404</v>
      </c>
      <c r="C132" s="179" t="s">
        <v>405</v>
      </c>
      <c r="D132" s="106" t="s">
        <v>11</v>
      </c>
      <c r="E132" s="179" t="s">
        <v>16</v>
      </c>
      <c r="F132" s="179" t="s">
        <v>588</v>
      </c>
      <c r="G132" s="106" t="n">
        <v>95</v>
      </c>
      <c r="H132" s="106" t="n">
        <v>66.5</v>
      </c>
      <c r="I132" s="191" t="n">
        <f aca="false">IFERROR(H132/G132,0)</f>
        <v>0.7</v>
      </c>
      <c r="J132" s="188" t="n">
        <f aca="false">IF(I132&gt;=0.95,5,IF(I132&gt;=0.8,4,IF(I132&gt;=0.65,3,IF(I132&gt;=0.5,2,1))))</f>
        <v>3</v>
      </c>
      <c r="K132" s="106" t="s">
        <v>578</v>
      </c>
    </row>
    <row r="133" customFormat="false" ht="15" hidden="false" customHeight="false" outlineLevel="0" collapsed="false">
      <c r="A133" s="102" t="s">
        <v>717</v>
      </c>
      <c r="B133" s="102" t="s">
        <v>72</v>
      </c>
      <c r="C133" s="177" t="s">
        <v>73</v>
      </c>
      <c r="D133" s="102" t="s">
        <v>11</v>
      </c>
      <c r="E133" s="177" t="s">
        <v>16</v>
      </c>
      <c r="F133" s="177" t="s">
        <v>595</v>
      </c>
      <c r="G133" s="102" t="n">
        <v>20</v>
      </c>
      <c r="H133" s="102" t="n">
        <v>18</v>
      </c>
      <c r="I133" s="190" t="n">
        <f aca="false">IFERROR(H133/G133,0)</f>
        <v>0.9</v>
      </c>
      <c r="J133" s="186" t="n">
        <f aca="false">IF(I133&gt;=0.95,5,IF(I133&gt;=0.8,4,IF(I133&gt;=0.65,3,IF(I133&gt;=0.5,2,1))))</f>
        <v>4</v>
      </c>
      <c r="K133" s="102" t="s">
        <v>578</v>
      </c>
    </row>
    <row r="134" customFormat="false" ht="15" hidden="false" customHeight="false" outlineLevel="0" collapsed="false">
      <c r="A134" s="106" t="s">
        <v>718</v>
      </c>
      <c r="B134" s="106" t="s">
        <v>72</v>
      </c>
      <c r="C134" s="179" t="s">
        <v>73</v>
      </c>
      <c r="D134" s="106" t="s">
        <v>11</v>
      </c>
      <c r="E134" s="179" t="s">
        <v>16</v>
      </c>
      <c r="F134" s="179" t="s">
        <v>603</v>
      </c>
      <c r="G134" s="106" t="n">
        <v>90</v>
      </c>
      <c r="H134" s="106" t="n">
        <v>90</v>
      </c>
      <c r="I134" s="191" t="n">
        <f aca="false">IFERROR(H134/G134,0)</f>
        <v>1</v>
      </c>
      <c r="J134" s="188" t="n">
        <f aca="false">IF(I134&gt;=0.95,5,IF(I134&gt;=0.8,4,IF(I134&gt;=0.65,3,IF(I134&gt;=0.5,2,1))))</f>
        <v>5</v>
      </c>
      <c r="K134" s="106" t="s">
        <v>601</v>
      </c>
    </row>
    <row r="135" customFormat="false" ht="15" hidden="false" customHeight="false" outlineLevel="0" collapsed="false">
      <c r="A135" s="102" t="s">
        <v>719</v>
      </c>
      <c r="B135" s="102" t="s">
        <v>72</v>
      </c>
      <c r="C135" s="177" t="s">
        <v>73</v>
      </c>
      <c r="D135" s="102" t="s">
        <v>11</v>
      </c>
      <c r="E135" s="177" t="s">
        <v>16</v>
      </c>
      <c r="F135" s="177" t="s">
        <v>580</v>
      </c>
      <c r="G135" s="102" t="n">
        <v>8</v>
      </c>
      <c r="H135" s="102" t="n">
        <v>8</v>
      </c>
      <c r="I135" s="190" t="n">
        <f aca="false">IFERROR(H135/G135,0)</f>
        <v>1</v>
      </c>
      <c r="J135" s="186" t="n">
        <f aca="false">IF(I135&gt;=0.95,5,IF(I135&gt;=0.8,4,IF(I135&gt;=0.65,3,IF(I135&gt;=0.5,2,1))))</f>
        <v>5</v>
      </c>
      <c r="K135" s="102" t="s">
        <v>601</v>
      </c>
    </row>
    <row r="136" customFormat="false" ht="15" hidden="false" customHeight="false" outlineLevel="0" collapsed="false">
      <c r="A136" s="106" t="s">
        <v>720</v>
      </c>
      <c r="B136" s="106" t="s">
        <v>408</v>
      </c>
      <c r="C136" s="179" t="s">
        <v>409</v>
      </c>
      <c r="D136" s="106" t="s">
        <v>11</v>
      </c>
      <c r="E136" s="179" t="s">
        <v>16</v>
      </c>
      <c r="F136" s="179" t="s">
        <v>595</v>
      </c>
      <c r="G136" s="106" t="n">
        <v>5</v>
      </c>
      <c r="H136" s="106" t="n">
        <v>5</v>
      </c>
      <c r="I136" s="191" t="n">
        <f aca="false">IFERROR(H136/G136,0)</f>
        <v>1</v>
      </c>
      <c r="J136" s="188" t="n">
        <f aca="false">IF(I136&gt;=0.95,5,IF(I136&gt;=0.8,4,IF(I136&gt;=0.65,3,IF(I136&gt;=0.5,2,1))))</f>
        <v>5</v>
      </c>
      <c r="K136" s="106" t="s">
        <v>601</v>
      </c>
    </row>
    <row r="137" customFormat="false" ht="15" hidden="false" customHeight="false" outlineLevel="0" collapsed="false">
      <c r="A137" s="102" t="s">
        <v>721</v>
      </c>
      <c r="B137" s="102" t="s">
        <v>408</v>
      </c>
      <c r="C137" s="177" t="s">
        <v>409</v>
      </c>
      <c r="D137" s="102" t="s">
        <v>11</v>
      </c>
      <c r="E137" s="177" t="s">
        <v>16</v>
      </c>
      <c r="F137" s="177" t="s">
        <v>586</v>
      </c>
      <c r="G137" s="102" t="n">
        <v>10</v>
      </c>
      <c r="H137" s="102" t="n">
        <v>8</v>
      </c>
      <c r="I137" s="190" t="n">
        <f aca="false">IFERROR(H137/G137,0)</f>
        <v>0.8</v>
      </c>
      <c r="J137" s="186" t="n">
        <f aca="false">IF(I137&gt;=0.95,5,IF(I137&gt;=0.8,4,IF(I137&gt;=0.65,3,IF(I137&gt;=0.5,2,1))))</f>
        <v>4</v>
      </c>
      <c r="K137" s="102" t="s">
        <v>578</v>
      </c>
    </row>
    <row r="138" customFormat="false" ht="15" hidden="false" customHeight="false" outlineLevel="0" collapsed="false">
      <c r="A138" s="106" t="s">
        <v>722</v>
      </c>
      <c r="B138" s="106" t="s">
        <v>74</v>
      </c>
      <c r="C138" s="179" t="s">
        <v>75</v>
      </c>
      <c r="D138" s="106" t="s">
        <v>11</v>
      </c>
      <c r="E138" s="179" t="s">
        <v>20</v>
      </c>
      <c r="F138" s="179" t="s">
        <v>603</v>
      </c>
      <c r="G138" s="106" t="n">
        <v>90</v>
      </c>
      <c r="H138" s="106" t="n">
        <v>45</v>
      </c>
      <c r="I138" s="191" t="n">
        <f aca="false">IFERROR(H138/G138,0)</f>
        <v>0.5</v>
      </c>
      <c r="J138" s="188" t="n">
        <f aca="false">IF(I138&gt;=0.95,5,IF(I138&gt;=0.8,4,IF(I138&gt;=0.65,3,IF(I138&gt;=0.5,2,1))))</f>
        <v>2</v>
      </c>
      <c r="K138" s="106" t="s">
        <v>581</v>
      </c>
    </row>
    <row r="139" customFormat="false" ht="15" hidden="false" customHeight="false" outlineLevel="0" collapsed="false">
      <c r="A139" s="102" t="s">
        <v>723</v>
      </c>
      <c r="B139" s="102" t="s">
        <v>74</v>
      </c>
      <c r="C139" s="177" t="s">
        <v>75</v>
      </c>
      <c r="D139" s="102" t="s">
        <v>11</v>
      </c>
      <c r="E139" s="177" t="s">
        <v>20</v>
      </c>
      <c r="F139" s="177" t="s">
        <v>598</v>
      </c>
      <c r="G139" s="102" t="n">
        <v>7</v>
      </c>
      <c r="H139" s="102" t="n">
        <v>5.6</v>
      </c>
      <c r="I139" s="190" t="n">
        <f aca="false">IFERROR(H139/G139,0)</f>
        <v>0.8</v>
      </c>
      <c r="J139" s="186" t="n">
        <f aca="false">IF(I139&gt;=0.95,5,IF(I139&gt;=0.8,4,IF(I139&gt;=0.65,3,IF(I139&gt;=0.5,2,1))))</f>
        <v>4</v>
      </c>
      <c r="K139" s="102" t="s">
        <v>578</v>
      </c>
    </row>
    <row r="140" customFormat="false" ht="15" hidden="false" customHeight="false" outlineLevel="0" collapsed="false">
      <c r="A140" s="106" t="s">
        <v>724</v>
      </c>
      <c r="B140" s="106" t="s">
        <v>74</v>
      </c>
      <c r="C140" s="179" t="s">
        <v>75</v>
      </c>
      <c r="D140" s="106" t="s">
        <v>11</v>
      </c>
      <c r="E140" s="179" t="s">
        <v>20</v>
      </c>
      <c r="F140" s="179" t="s">
        <v>577</v>
      </c>
      <c r="G140" s="106" t="n">
        <v>80</v>
      </c>
      <c r="H140" s="106" t="n">
        <v>32</v>
      </c>
      <c r="I140" s="191" t="n">
        <f aca="false">IFERROR(H140/G140,0)</f>
        <v>0.4</v>
      </c>
      <c r="J140" s="188" t="n">
        <f aca="false">IF(I140&gt;=0.95,5,IF(I140&gt;=0.8,4,IF(I140&gt;=0.65,3,IF(I140&gt;=0.5,2,1))))</f>
        <v>1</v>
      </c>
      <c r="K140" s="106" t="s">
        <v>581</v>
      </c>
    </row>
    <row r="141" customFormat="false" ht="15" hidden="false" customHeight="false" outlineLevel="0" collapsed="false">
      <c r="A141" s="102" t="s">
        <v>725</v>
      </c>
      <c r="B141" s="102" t="s">
        <v>74</v>
      </c>
      <c r="C141" s="177" t="s">
        <v>75</v>
      </c>
      <c r="D141" s="102" t="s">
        <v>11</v>
      </c>
      <c r="E141" s="177" t="s">
        <v>20</v>
      </c>
      <c r="F141" s="177" t="s">
        <v>580</v>
      </c>
      <c r="G141" s="102" t="n">
        <v>9</v>
      </c>
      <c r="H141" s="102" t="n">
        <v>6.3</v>
      </c>
      <c r="I141" s="190" t="n">
        <f aca="false">IFERROR(H141/G141,0)</f>
        <v>0.7</v>
      </c>
      <c r="J141" s="186" t="n">
        <f aca="false">IF(I141&gt;=0.95,5,IF(I141&gt;=0.8,4,IF(I141&gt;=0.65,3,IF(I141&gt;=0.5,2,1))))</f>
        <v>3</v>
      </c>
      <c r="K141" s="102" t="s">
        <v>578</v>
      </c>
    </row>
    <row r="142" customFormat="false" ht="15" hidden="false" customHeight="false" outlineLevel="0" collapsed="false">
      <c r="A142" s="106" t="s">
        <v>726</v>
      </c>
      <c r="B142" s="106" t="s">
        <v>62</v>
      </c>
      <c r="C142" s="179" t="s">
        <v>63</v>
      </c>
      <c r="D142" s="106" t="s">
        <v>11</v>
      </c>
      <c r="E142" s="179" t="s">
        <v>20</v>
      </c>
      <c r="F142" s="179" t="s">
        <v>577</v>
      </c>
      <c r="G142" s="106" t="n">
        <v>5</v>
      </c>
      <c r="H142" s="106" t="n">
        <v>5</v>
      </c>
      <c r="I142" s="191" t="n">
        <f aca="false">IFERROR(H142/G142,0)</f>
        <v>1</v>
      </c>
      <c r="J142" s="188" t="n">
        <f aca="false">IF(I142&gt;=0.95,5,IF(I142&gt;=0.8,4,IF(I142&gt;=0.65,3,IF(I142&gt;=0.5,2,1))))</f>
        <v>5</v>
      </c>
      <c r="K142" s="106" t="s">
        <v>601</v>
      </c>
    </row>
    <row r="143" customFormat="false" ht="15" hidden="false" customHeight="false" outlineLevel="0" collapsed="false">
      <c r="A143" s="102" t="s">
        <v>727</v>
      </c>
      <c r="B143" s="102" t="s">
        <v>62</v>
      </c>
      <c r="C143" s="177" t="s">
        <v>63</v>
      </c>
      <c r="D143" s="102" t="s">
        <v>11</v>
      </c>
      <c r="E143" s="177" t="s">
        <v>20</v>
      </c>
      <c r="F143" s="177" t="s">
        <v>598</v>
      </c>
      <c r="G143" s="102" t="n">
        <v>7</v>
      </c>
      <c r="H143" s="102" t="n">
        <v>5.6</v>
      </c>
      <c r="I143" s="190" t="n">
        <f aca="false">IFERROR(H143/G143,0)</f>
        <v>0.8</v>
      </c>
      <c r="J143" s="186" t="n">
        <f aca="false">IF(I143&gt;=0.95,5,IF(I143&gt;=0.8,4,IF(I143&gt;=0.65,3,IF(I143&gt;=0.5,2,1))))</f>
        <v>4</v>
      </c>
      <c r="K143" s="102" t="s">
        <v>578</v>
      </c>
    </row>
    <row r="144" customFormat="false" ht="15" hidden="false" customHeight="false" outlineLevel="0" collapsed="false">
      <c r="A144" s="106" t="s">
        <v>728</v>
      </c>
      <c r="B144" s="106" t="s">
        <v>62</v>
      </c>
      <c r="C144" s="179" t="s">
        <v>63</v>
      </c>
      <c r="D144" s="106" t="s">
        <v>11</v>
      </c>
      <c r="E144" s="179" t="s">
        <v>20</v>
      </c>
      <c r="F144" s="179" t="s">
        <v>590</v>
      </c>
      <c r="G144" s="106" t="n">
        <v>9</v>
      </c>
      <c r="H144" s="106" t="n">
        <v>3.6</v>
      </c>
      <c r="I144" s="191" t="n">
        <f aca="false">IFERROR(H144/G144,0)</f>
        <v>0.4</v>
      </c>
      <c r="J144" s="188" t="n">
        <f aca="false">IF(I144&gt;=0.95,5,IF(I144&gt;=0.8,4,IF(I144&gt;=0.65,3,IF(I144&gt;=0.5,2,1))))</f>
        <v>1</v>
      </c>
      <c r="K144" s="106" t="s">
        <v>581</v>
      </c>
    </row>
    <row r="145" customFormat="false" ht="15" hidden="false" customHeight="false" outlineLevel="0" collapsed="false">
      <c r="A145" s="102" t="s">
        <v>729</v>
      </c>
      <c r="B145" s="102" t="s">
        <v>62</v>
      </c>
      <c r="C145" s="177" t="s">
        <v>63</v>
      </c>
      <c r="D145" s="102" t="s">
        <v>11</v>
      </c>
      <c r="E145" s="177" t="s">
        <v>20</v>
      </c>
      <c r="F145" s="177" t="s">
        <v>595</v>
      </c>
      <c r="G145" s="102" t="n">
        <v>100</v>
      </c>
      <c r="H145" s="102" t="n">
        <v>80</v>
      </c>
      <c r="I145" s="190" t="n">
        <f aca="false">IFERROR(H145/G145,0)</f>
        <v>0.8</v>
      </c>
      <c r="J145" s="186" t="n">
        <f aca="false">IF(I145&gt;=0.95,5,IF(I145&gt;=0.8,4,IF(I145&gt;=0.65,3,IF(I145&gt;=0.5,2,1))))</f>
        <v>4</v>
      </c>
      <c r="K145" s="102" t="s">
        <v>578</v>
      </c>
    </row>
    <row r="146" customFormat="false" ht="15" hidden="false" customHeight="false" outlineLevel="0" collapsed="false">
      <c r="A146" s="106" t="s">
        <v>730</v>
      </c>
      <c r="B146" s="106" t="s">
        <v>411</v>
      </c>
      <c r="C146" s="179" t="s">
        <v>412</v>
      </c>
      <c r="D146" s="106" t="s">
        <v>11</v>
      </c>
      <c r="E146" s="179" t="s">
        <v>20</v>
      </c>
      <c r="F146" s="179" t="s">
        <v>598</v>
      </c>
      <c r="G146" s="106" t="n">
        <v>6</v>
      </c>
      <c r="H146" s="106" t="n">
        <v>4.8</v>
      </c>
      <c r="I146" s="191" t="n">
        <f aca="false">IFERROR(H146/G146,0)</f>
        <v>0.8</v>
      </c>
      <c r="J146" s="188" t="n">
        <f aca="false">IF(I146&gt;=0.95,5,IF(I146&gt;=0.8,4,IF(I146&gt;=0.65,3,IF(I146&gt;=0.5,2,1))))</f>
        <v>4</v>
      </c>
      <c r="K146" s="106" t="s">
        <v>578</v>
      </c>
    </row>
    <row r="147" customFormat="false" ht="15" hidden="false" customHeight="false" outlineLevel="0" collapsed="false">
      <c r="A147" s="102" t="s">
        <v>731</v>
      </c>
      <c r="B147" s="102" t="s">
        <v>411</v>
      </c>
      <c r="C147" s="177" t="s">
        <v>412</v>
      </c>
      <c r="D147" s="102" t="s">
        <v>11</v>
      </c>
      <c r="E147" s="177" t="s">
        <v>20</v>
      </c>
      <c r="F147" s="177" t="s">
        <v>590</v>
      </c>
      <c r="G147" s="102" t="n">
        <v>9</v>
      </c>
      <c r="H147" s="102" t="n">
        <v>8.1</v>
      </c>
      <c r="I147" s="190" t="n">
        <f aca="false">IFERROR(H147/G147,0)</f>
        <v>0.9</v>
      </c>
      <c r="J147" s="186" t="n">
        <f aca="false">IF(I147&gt;=0.95,5,IF(I147&gt;=0.8,4,IF(I147&gt;=0.65,3,IF(I147&gt;=0.5,2,1))))</f>
        <v>4</v>
      </c>
      <c r="K147" s="102" t="s">
        <v>578</v>
      </c>
    </row>
    <row r="148" customFormat="false" ht="15" hidden="false" customHeight="false" outlineLevel="0" collapsed="false">
      <c r="A148" s="106" t="s">
        <v>732</v>
      </c>
      <c r="B148" s="106" t="s">
        <v>414</v>
      </c>
      <c r="C148" s="179" t="s">
        <v>415</v>
      </c>
      <c r="D148" s="106" t="s">
        <v>11</v>
      </c>
      <c r="E148" s="179" t="s">
        <v>20</v>
      </c>
      <c r="F148" s="179" t="s">
        <v>586</v>
      </c>
      <c r="G148" s="106" t="n">
        <v>9</v>
      </c>
      <c r="H148" s="106" t="n">
        <v>8.1</v>
      </c>
      <c r="I148" s="191" t="n">
        <f aca="false">IFERROR(H148/G148,0)</f>
        <v>0.9</v>
      </c>
      <c r="J148" s="188" t="n">
        <f aca="false">IF(I148&gt;=0.95,5,IF(I148&gt;=0.8,4,IF(I148&gt;=0.65,3,IF(I148&gt;=0.5,2,1))))</f>
        <v>4</v>
      </c>
      <c r="K148" s="106" t="s">
        <v>578</v>
      </c>
    </row>
    <row r="149" customFormat="false" ht="15" hidden="false" customHeight="false" outlineLevel="0" collapsed="false">
      <c r="A149" s="102" t="s">
        <v>733</v>
      </c>
      <c r="B149" s="102" t="s">
        <v>414</v>
      </c>
      <c r="C149" s="177" t="s">
        <v>415</v>
      </c>
      <c r="D149" s="102" t="s">
        <v>11</v>
      </c>
      <c r="E149" s="177" t="s">
        <v>20</v>
      </c>
      <c r="F149" s="177" t="s">
        <v>598</v>
      </c>
      <c r="G149" s="102" t="n">
        <v>8</v>
      </c>
      <c r="H149" s="102" t="n">
        <v>3.2</v>
      </c>
      <c r="I149" s="190" t="n">
        <f aca="false">IFERROR(H149/G149,0)</f>
        <v>0.4</v>
      </c>
      <c r="J149" s="186" t="n">
        <f aca="false">IF(I149&gt;=0.95,5,IF(I149&gt;=0.8,4,IF(I149&gt;=0.65,3,IF(I149&gt;=0.5,2,1))))</f>
        <v>1</v>
      </c>
      <c r="K149" s="102" t="s">
        <v>581</v>
      </c>
    </row>
    <row r="150" customFormat="false" ht="15" hidden="false" customHeight="false" outlineLevel="0" collapsed="false">
      <c r="A150" s="106" t="s">
        <v>734</v>
      </c>
      <c r="B150" s="106" t="s">
        <v>414</v>
      </c>
      <c r="C150" s="179" t="s">
        <v>415</v>
      </c>
      <c r="D150" s="106" t="s">
        <v>11</v>
      </c>
      <c r="E150" s="179" t="s">
        <v>20</v>
      </c>
      <c r="F150" s="179" t="s">
        <v>592</v>
      </c>
      <c r="G150" s="106" t="n">
        <v>4</v>
      </c>
      <c r="H150" s="106" t="n">
        <v>4</v>
      </c>
      <c r="I150" s="191" t="n">
        <f aca="false">IFERROR(H150/G150,0)</f>
        <v>1</v>
      </c>
      <c r="J150" s="188" t="n">
        <f aca="false">IF(I150&gt;=0.95,5,IF(I150&gt;=0.8,4,IF(I150&gt;=0.65,3,IF(I150&gt;=0.5,2,1))))</f>
        <v>5</v>
      </c>
      <c r="K150" s="106" t="s">
        <v>601</v>
      </c>
    </row>
    <row r="151" customFormat="false" ht="15" hidden="false" customHeight="false" outlineLevel="0" collapsed="false">
      <c r="A151" s="102" t="s">
        <v>735</v>
      </c>
      <c r="B151" s="102" t="s">
        <v>76</v>
      </c>
      <c r="C151" s="177" t="s">
        <v>77</v>
      </c>
      <c r="D151" s="102" t="s">
        <v>11</v>
      </c>
      <c r="E151" s="177" t="s">
        <v>20</v>
      </c>
      <c r="F151" s="177" t="s">
        <v>586</v>
      </c>
      <c r="G151" s="102" t="n">
        <v>8</v>
      </c>
      <c r="H151" s="102" t="n">
        <v>4.8</v>
      </c>
      <c r="I151" s="190" t="n">
        <f aca="false">IFERROR(H151/G151,0)</f>
        <v>0.6</v>
      </c>
      <c r="J151" s="186" t="n">
        <f aca="false">IF(I151&gt;=0.95,5,IF(I151&gt;=0.8,4,IF(I151&gt;=0.65,3,IF(I151&gt;=0.5,2,1))))</f>
        <v>2</v>
      </c>
      <c r="K151" s="102" t="s">
        <v>581</v>
      </c>
    </row>
    <row r="152" customFormat="false" ht="15" hidden="false" customHeight="false" outlineLevel="0" collapsed="false">
      <c r="A152" s="106" t="s">
        <v>736</v>
      </c>
      <c r="B152" s="106" t="s">
        <v>76</v>
      </c>
      <c r="C152" s="179" t="s">
        <v>77</v>
      </c>
      <c r="D152" s="106" t="s">
        <v>11</v>
      </c>
      <c r="E152" s="179" t="s">
        <v>20</v>
      </c>
      <c r="F152" s="179" t="s">
        <v>598</v>
      </c>
      <c r="G152" s="106" t="n">
        <v>8</v>
      </c>
      <c r="H152" s="106" t="n">
        <v>5.6</v>
      </c>
      <c r="I152" s="191" t="n">
        <f aca="false">IFERROR(H152/G152,0)</f>
        <v>0.7</v>
      </c>
      <c r="J152" s="188" t="n">
        <f aca="false">IF(I152&gt;=0.95,5,IF(I152&gt;=0.8,4,IF(I152&gt;=0.65,3,IF(I152&gt;=0.5,2,1))))</f>
        <v>3</v>
      </c>
      <c r="K152" s="106" t="s">
        <v>578</v>
      </c>
    </row>
    <row r="153" customFormat="false" ht="15" hidden="false" customHeight="false" outlineLevel="0" collapsed="false">
      <c r="A153" s="102" t="s">
        <v>737</v>
      </c>
      <c r="B153" s="102" t="s">
        <v>56</v>
      </c>
      <c r="C153" s="177" t="s">
        <v>57</v>
      </c>
      <c r="D153" s="102" t="s">
        <v>11</v>
      </c>
      <c r="E153" s="177" t="s">
        <v>20</v>
      </c>
      <c r="F153" s="177" t="s">
        <v>586</v>
      </c>
      <c r="G153" s="102" t="n">
        <v>7</v>
      </c>
      <c r="H153" s="102" t="n">
        <v>6.3</v>
      </c>
      <c r="I153" s="190" t="n">
        <f aca="false">IFERROR(H153/G153,0)</f>
        <v>0.9</v>
      </c>
      <c r="J153" s="186" t="n">
        <f aca="false">IF(I153&gt;=0.95,5,IF(I153&gt;=0.8,4,IF(I153&gt;=0.65,3,IF(I153&gt;=0.5,2,1))))</f>
        <v>4</v>
      </c>
      <c r="K153" s="102" t="s">
        <v>578</v>
      </c>
    </row>
    <row r="154" customFormat="false" ht="15" hidden="false" customHeight="false" outlineLevel="0" collapsed="false">
      <c r="A154" s="106" t="s">
        <v>738</v>
      </c>
      <c r="B154" s="106" t="s">
        <v>56</v>
      </c>
      <c r="C154" s="179" t="s">
        <v>57</v>
      </c>
      <c r="D154" s="106" t="s">
        <v>11</v>
      </c>
      <c r="E154" s="179" t="s">
        <v>20</v>
      </c>
      <c r="F154" s="179" t="s">
        <v>583</v>
      </c>
      <c r="G154" s="106" t="n">
        <v>90</v>
      </c>
      <c r="H154" s="106" t="n">
        <v>63</v>
      </c>
      <c r="I154" s="191" t="n">
        <f aca="false">IFERROR(H154/G154,0)</f>
        <v>0.7</v>
      </c>
      <c r="J154" s="188" t="n">
        <f aca="false">IF(I154&gt;=0.95,5,IF(I154&gt;=0.8,4,IF(I154&gt;=0.65,3,IF(I154&gt;=0.5,2,1))))</f>
        <v>3</v>
      </c>
      <c r="K154" s="106" t="s">
        <v>578</v>
      </c>
    </row>
    <row r="155" customFormat="false" ht="15" hidden="false" customHeight="false" outlineLevel="0" collapsed="false">
      <c r="A155" s="102" t="s">
        <v>739</v>
      </c>
      <c r="B155" s="102" t="s">
        <v>56</v>
      </c>
      <c r="C155" s="177" t="s">
        <v>57</v>
      </c>
      <c r="D155" s="102" t="s">
        <v>11</v>
      </c>
      <c r="E155" s="177" t="s">
        <v>20</v>
      </c>
      <c r="F155" s="177" t="s">
        <v>580</v>
      </c>
      <c r="G155" s="102" t="n">
        <v>4</v>
      </c>
      <c r="H155" s="102" t="n">
        <v>3.6</v>
      </c>
      <c r="I155" s="190" t="n">
        <f aca="false">IFERROR(H155/G155,0)</f>
        <v>0.9</v>
      </c>
      <c r="J155" s="186" t="n">
        <f aca="false">IF(I155&gt;=0.95,5,IF(I155&gt;=0.8,4,IF(I155&gt;=0.65,3,IF(I155&gt;=0.5,2,1))))</f>
        <v>4</v>
      </c>
      <c r="K155" s="102" t="s">
        <v>578</v>
      </c>
    </row>
    <row r="156" customFormat="false" ht="15" hidden="false" customHeight="false" outlineLevel="0" collapsed="false">
      <c r="A156" s="106" t="s">
        <v>740</v>
      </c>
      <c r="B156" s="106" t="s">
        <v>78</v>
      </c>
      <c r="C156" s="179" t="s">
        <v>79</v>
      </c>
      <c r="D156" s="106" t="s">
        <v>11</v>
      </c>
      <c r="E156" s="179" t="s">
        <v>21</v>
      </c>
      <c r="F156" s="179" t="s">
        <v>580</v>
      </c>
      <c r="G156" s="106" t="n">
        <v>9</v>
      </c>
      <c r="H156" s="106" t="n">
        <v>5.4</v>
      </c>
      <c r="I156" s="191" t="n">
        <f aca="false">IFERROR(H156/G156,0)</f>
        <v>0.6</v>
      </c>
      <c r="J156" s="188" t="n">
        <f aca="false">IF(I156&gt;=0.95,5,IF(I156&gt;=0.8,4,IF(I156&gt;=0.65,3,IF(I156&gt;=0.5,2,1))))</f>
        <v>2</v>
      </c>
      <c r="K156" s="106" t="s">
        <v>581</v>
      </c>
    </row>
    <row r="157" customFormat="false" ht="15" hidden="false" customHeight="false" outlineLevel="0" collapsed="false">
      <c r="A157" s="102" t="s">
        <v>741</v>
      </c>
      <c r="B157" s="102" t="s">
        <v>78</v>
      </c>
      <c r="C157" s="177" t="s">
        <v>79</v>
      </c>
      <c r="D157" s="102" t="s">
        <v>11</v>
      </c>
      <c r="E157" s="177" t="s">
        <v>21</v>
      </c>
      <c r="F157" s="177" t="s">
        <v>588</v>
      </c>
      <c r="G157" s="102" t="n">
        <v>5</v>
      </c>
      <c r="H157" s="102" t="n">
        <v>2.5</v>
      </c>
      <c r="I157" s="190" t="n">
        <f aca="false">IFERROR(H157/G157,0)</f>
        <v>0.5</v>
      </c>
      <c r="J157" s="186" t="n">
        <f aca="false">IF(I157&gt;=0.95,5,IF(I157&gt;=0.8,4,IF(I157&gt;=0.65,3,IF(I157&gt;=0.5,2,1))))</f>
        <v>2</v>
      </c>
      <c r="K157" s="102" t="s">
        <v>581</v>
      </c>
    </row>
    <row r="158" customFormat="false" ht="15" hidden="false" customHeight="false" outlineLevel="0" collapsed="false">
      <c r="A158" s="106" t="s">
        <v>742</v>
      </c>
      <c r="B158" s="106" t="s">
        <v>90</v>
      </c>
      <c r="C158" s="179" t="s">
        <v>91</v>
      </c>
      <c r="D158" s="106" t="s">
        <v>11</v>
      </c>
      <c r="E158" s="179" t="s">
        <v>21</v>
      </c>
      <c r="F158" s="179" t="s">
        <v>595</v>
      </c>
      <c r="G158" s="106" t="n">
        <v>10</v>
      </c>
      <c r="H158" s="106" t="n">
        <v>7</v>
      </c>
      <c r="I158" s="191" t="n">
        <f aca="false">IFERROR(H158/G158,0)</f>
        <v>0.7</v>
      </c>
      <c r="J158" s="188" t="n">
        <f aca="false">IF(I158&gt;=0.95,5,IF(I158&gt;=0.8,4,IF(I158&gt;=0.65,3,IF(I158&gt;=0.5,2,1))))</f>
        <v>3</v>
      </c>
      <c r="K158" s="106" t="s">
        <v>578</v>
      </c>
    </row>
    <row r="159" customFormat="false" ht="15" hidden="false" customHeight="false" outlineLevel="0" collapsed="false">
      <c r="A159" s="102" t="s">
        <v>743</v>
      </c>
      <c r="B159" s="102" t="s">
        <v>90</v>
      </c>
      <c r="C159" s="177" t="s">
        <v>91</v>
      </c>
      <c r="D159" s="102" t="s">
        <v>11</v>
      </c>
      <c r="E159" s="177" t="s">
        <v>21</v>
      </c>
      <c r="F159" s="177" t="s">
        <v>580</v>
      </c>
      <c r="G159" s="102" t="n">
        <v>8</v>
      </c>
      <c r="H159" s="102" t="n">
        <v>8</v>
      </c>
      <c r="I159" s="190" t="n">
        <f aca="false">IFERROR(H159/G159,0)</f>
        <v>1</v>
      </c>
      <c r="J159" s="186" t="n">
        <f aca="false">IF(I159&gt;=0.95,5,IF(I159&gt;=0.8,4,IF(I159&gt;=0.65,3,IF(I159&gt;=0.5,2,1))))</f>
        <v>5</v>
      </c>
      <c r="K159" s="102" t="s">
        <v>601</v>
      </c>
    </row>
    <row r="160" customFormat="false" ht="15" hidden="false" customHeight="false" outlineLevel="0" collapsed="false">
      <c r="A160" s="106" t="s">
        <v>744</v>
      </c>
      <c r="B160" s="106" t="s">
        <v>421</v>
      </c>
      <c r="C160" s="179" t="s">
        <v>422</v>
      </c>
      <c r="D160" s="106" t="s">
        <v>11</v>
      </c>
      <c r="E160" s="179" t="s">
        <v>21</v>
      </c>
      <c r="F160" s="179" t="s">
        <v>586</v>
      </c>
      <c r="G160" s="106" t="n">
        <v>3</v>
      </c>
      <c r="H160" s="106" t="n">
        <v>3</v>
      </c>
      <c r="I160" s="191" t="n">
        <f aca="false">IFERROR(H160/G160,0)</f>
        <v>1</v>
      </c>
      <c r="J160" s="188" t="n">
        <f aca="false">IF(I160&gt;=0.95,5,IF(I160&gt;=0.8,4,IF(I160&gt;=0.65,3,IF(I160&gt;=0.5,2,1))))</f>
        <v>5</v>
      </c>
      <c r="K160" s="106" t="s">
        <v>601</v>
      </c>
    </row>
    <row r="161" customFormat="false" ht="15" hidden="false" customHeight="false" outlineLevel="0" collapsed="false">
      <c r="A161" s="102" t="s">
        <v>745</v>
      </c>
      <c r="B161" s="102" t="s">
        <v>421</v>
      </c>
      <c r="C161" s="177" t="s">
        <v>422</v>
      </c>
      <c r="D161" s="102" t="s">
        <v>11</v>
      </c>
      <c r="E161" s="177" t="s">
        <v>21</v>
      </c>
      <c r="F161" s="177" t="s">
        <v>598</v>
      </c>
      <c r="G161" s="102" t="n">
        <v>9</v>
      </c>
      <c r="H161" s="102" t="n">
        <v>7.2</v>
      </c>
      <c r="I161" s="190" t="n">
        <f aca="false">IFERROR(H161/G161,0)</f>
        <v>0.8</v>
      </c>
      <c r="J161" s="186" t="n">
        <f aca="false">IF(I161&gt;=0.95,5,IF(I161&gt;=0.8,4,IF(I161&gt;=0.65,3,IF(I161&gt;=0.5,2,1))))</f>
        <v>4</v>
      </c>
      <c r="K161" s="102" t="s">
        <v>578</v>
      </c>
    </row>
    <row r="162" customFormat="false" ht="15" hidden="false" customHeight="false" outlineLevel="0" collapsed="false">
      <c r="A162" s="106" t="s">
        <v>746</v>
      </c>
      <c r="B162" s="106" t="s">
        <v>421</v>
      </c>
      <c r="C162" s="179" t="s">
        <v>422</v>
      </c>
      <c r="D162" s="106" t="s">
        <v>11</v>
      </c>
      <c r="E162" s="179" t="s">
        <v>21</v>
      </c>
      <c r="F162" s="179" t="s">
        <v>595</v>
      </c>
      <c r="G162" s="106" t="n">
        <v>90</v>
      </c>
      <c r="H162" s="106" t="n">
        <v>81</v>
      </c>
      <c r="I162" s="191" t="n">
        <f aca="false">IFERROR(H162/G162,0)</f>
        <v>0.9</v>
      </c>
      <c r="J162" s="188" t="n">
        <f aca="false">IF(I162&gt;=0.95,5,IF(I162&gt;=0.8,4,IF(I162&gt;=0.65,3,IF(I162&gt;=0.5,2,1))))</f>
        <v>4</v>
      </c>
      <c r="K162" s="106" t="s">
        <v>578</v>
      </c>
    </row>
    <row r="163" customFormat="false" ht="15" hidden="false" customHeight="false" outlineLevel="0" collapsed="false">
      <c r="A163" s="102" t="s">
        <v>747</v>
      </c>
      <c r="B163" s="102" t="s">
        <v>421</v>
      </c>
      <c r="C163" s="177" t="s">
        <v>422</v>
      </c>
      <c r="D163" s="102" t="s">
        <v>11</v>
      </c>
      <c r="E163" s="177" t="s">
        <v>21</v>
      </c>
      <c r="F163" s="177" t="s">
        <v>592</v>
      </c>
      <c r="G163" s="102" t="n">
        <v>4</v>
      </c>
      <c r="H163" s="102" t="n">
        <v>2.4</v>
      </c>
      <c r="I163" s="190" t="n">
        <f aca="false">IFERROR(H163/G163,0)</f>
        <v>0.6</v>
      </c>
      <c r="J163" s="186" t="n">
        <f aca="false">IF(I163&gt;=0.95,5,IF(I163&gt;=0.8,4,IF(I163&gt;=0.65,3,IF(I163&gt;=0.5,2,1))))</f>
        <v>2</v>
      </c>
      <c r="K163" s="102" t="s">
        <v>581</v>
      </c>
    </row>
    <row r="164" customFormat="false" ht="15" hidden="false" customHeight="false" outlineLevel="0" collapsed="false">
      <c r="A164" s="106" t="s">
        <v>748</v>
      </c>
      <c r="B164" s="106" t="s">
        <v>423</v>
      </c>
      <c r="C164" s="179" t="s">
        <v>424</v>
      </c>
      <c r="D164" s="106" t="s">
        <v>11</v>
      </c>
      <c r="E164" s="179" t="s">
        <v>21</v>
      </c>
      <c r="F164" s="179" t="s">
        <v>603</v>
      </c>
      <c r="G164" s="106" t="n">
        <v>10</v>
      </c>
      <c r="H164" s="106" t="n">
        <v>10</v>
      </c>
      <c r="I164" s="191" t="n">
        <f aca="false">IFERROR(H164/G164,0)</f>
        <v>1</v>
      </c>
      <c r="J164" s="188" t="n">
        <f aca="false">IF(I164&gt;=0.95,5,IF(I164&gt;=0.8,4,IF(I164&gt;=0.65,3,IF(I164&gt;=0.5,2,1))))</f>
        <v>5</v>
      </c>
      <c r="K164" s="106" t="s">
        <v>601</v>
      </c>
    </row>
    <row r="165" customFormat="false" ht="15" hidden="false" customHeight="false" outlineLevel="0" collapsed="false">
      <c r="A165" s="102" t="s">
        <v>749</v>
      </c>
      <c r="B165" s="102" t="s">
        <v>423</v>
      </c>
      <c r="C165" s="177" t="s">
        <v>424</v>
      </c>
      <c r="D165" s="102" t="s">
        <v>11</v>
      </c>
      <c r="E165" s="177" t="s">
        <v>21</v>
      </c>
      <c r="F165" s="177" t="s">
        <v>583</v>
      </c>
      <c r="G165" s="102" t="n">
        <v>10</v>
      </c>
      <c r="H165" s="102" t="n">
        <v>8</v>
      </c>
      <c r="I165" s="190" t="n">
        <f aca="false">IFERROR(H165/G165,0)</f>
        <v>0.8</v>
      </c>
      <c r="J165" s="186" t="n">
        <f aca="false">IF(I165&gt;=0.95,5,IF(I165&gt;=0.8,4,IF(I165&gt;=0.65,3,IF(I165&gt;=0.5,2,1))))</f>
        <v>4</v>
      </c>
      <c r="K165" s="102" t="s">
        <v>578</v>
      </c>
    </row>
    <row r="166" customFormat="false" ht="15" hidden="false" customHeight="false" outlineLevel="0" collapsed="false">
      <c r="A166" s="106" t="s">
        <v>750</v>
      </c>
      <c r="B166" s="106" t="s">
        <v>425</v>
      </c>
      <c r="C166" s="179" t="s">
        <v>426</v>
      </c>
      <c r="D166" s="106" t="s">
        <v>11</v>
      </c>
      <c r="E166" s="179" t="s">
        <v>21</v>
      </c>
      <c r="F166" s="179" t="s">
        <v>580</v>
      </c>
      <c r="G166" s="106" t="n">
        <v>8</v>
      </c>
      <c r="H166" s="106" t="n">
        <v>6.4</v>
      </c>
      <c r="I166" s="191" t="n">
        <f aca="false">IFERROR(H166/G166,0)</f>
        <v>0.8</v>
      </c>
      <c r="J166" s="188" t="n">
        <f aca="false">IF(I166&gt;=0.95,5,IF(I166&gt;=0.8,4,IF(I166&gt;=0.65,3,IF(I166&gt;=0.5,2,1))))</f>
        <v>4</v>
      </c>
      <c r="K166" s="106" t="s">
        <v>578</v>
      </c>
    </row>
    <row r="167" customFormat="false" ht="15" hidden="false" customHeight="false" outlineLevel="0" collapsed="false">
      <c r="A167" s="102" t="s">
        <v>751</v>
      </c>
      <c r="B167" s="102" t="s">
        <v>425</v>
      </c>
      <c r="C167" s="177" t="s">
        <v>426</v>
      </c>
      <c r="D167" s="102" t="s">
        <v>11</v>
      </c>
      <c r="E167" s="177" t="s">
        <v>21</v>
      </c>
      <c r="F167" s="177" t="s">
        <v>588</v>
      </c>
      <c r="G167" s="102" t="n">
        <v>10</v>
      </c>
      <c r="H167" s="102" t="n">
        <v>7</v>
      </c>
      <c r="I167" s="190" t="n">
        <f aca="false">IFERROR(H167/G167,0)</f>
        <v>0.7</v>
      </c>
      <c r="J167" s="186" t="n">
        <f aca="false">IF(I167&gt;=0.95,5,IF(I167&gt;=0.8,4,IF(I167&gt;=0.65,3,IF(I167&gt;=0.5,2,1))))</f>
        <v>3</v>
      </c>
      <c r="K167" s="102" t="s">
        <v>578</v>
      </c>
    </row>
    <row r="168" customFormat="false" ht="15" hidden="false" customHeight="false" outlineLevel="0" collapsed="false">
      <c r="A168" s="106" t="s">
        <v>752</v>
      </c>
      <c r="B168" s="106" t="s">
        <v>425</v>
      </c>
      <c r="C168" s="179" t="s">
        <v>426</v>
      </c>
      <c r="D168" s="106" t="s">
        <v>11</v>
      </c>
      <c r="E168" s="179" t="s">
        <v>21</v>
      </c>
      <c r="F168" s="179" t="s">
        <v>598</v>
      </c>
      <c r="G168" s="106" t="n">
        <v>7</v>
      </c>
      <c r="H168" s="106" t="n">
        <v>7</v>
      </c>
      <c r="I168" s="191" t="n">
        <f aca="false">IFERROR(H168/G168,0)</f>
        <v>1</v>
      </c>
      <c r="J168" s="188" t="n">
        <f aca="false">IF(I168&gt;=0.95,5,IF(I168&gt;=0.8,4,IF(I168&gt;=0.65,3,IF(I168&gt;=0.5,2,1))))</f>
        <v>5</v>
      </c>
      <c r="K168" s="106" t="s">
        <v>601</v>
      </c>
    </row>
    <row r="169" customFormat="false" ht="15" hidden="false" customHeight="false" outlineLevel="0" collapsed="false">
      <c r="A169" s="102" t="s">
        <v>753</v>
      </c>
      <c r="B169" s="102" t="s">
        <v>428</v>
      </c>
      <c r="C169" s="177" t="s">
        <v>132</v>
      </c>
      <c r="D169" s="102" t="s">
        <v>11</v>
      </c>
      <c r="E169" s="177" t="s">
        <v>21</v>
      </c>
      <c r="F169" s="177" t="s">
        <v>583</v>
      </c>
      <c r="G169" s="102" t="n">
        <v>90</v>
      </c>
      <c r="H169" s="102" t="n">
        <v>63</v>
      </c>
      <c r="I169" s="190" t="n">
        <f aca="false">IFERROR(H169/G169,0)</f>
        <v>0.7</v>
      </c>
      <c r="J169" s="186" t="n">
        <f aca="false">IF(I169&gt;=0.95,5,IF(I169&gt;=0.8,4,IF(I169&gt;=0.65,3,IF(I169&gt;=0.5,2,1))))</f>
        <v>3</v>
      </c>
      <c r="K169" s="102" t="s">
        <v>578</v>
      </c>
    </row>
    <row r="170" customFormat="false" ht="15" hidden="false" customHeight="false" outlineLevel="0" collapsed="false">
      <c r="A170" s="106" t="s">
        <v>754</v>
      </c>
      <c r="B170" s="106" t="s">
        <v>428</v>
      </c>
      <c r="C170" s="179" t="s">
        <v>132</v>
      </c>
      <c r="D170" s="106" t="s">
        <v>11</v>
      </c>
      <c r="E170" s="179" t="s">
        <v>21</v>
      </c>
      <c r="F170" s="179" t="s">
        <v>603</v>
      </c>
      <c r="G170" s="106" t="n">
        <v>95</v>
      </c>
      <c r="H170" s="106" t="n">
        <v>85.5</v>
      </c>
      <c r="I170" s="191" t="n">
        <f aca="false">IFERROR(H170/G170,0)</f>
        <v>0.9</v>
      </c>
      <c r="J170" s="188" t="n">
        <f aca="false">IF(I170&gt;=0.95,5,IF(I170&gt;=0.8,4,IF(I170&gt;=0.65,3,IF(I170&gt;=0.5,2,1))))</f>
        <v>4</v>
      </c>
      <c r="K170" s="106" t="s">
        <v>578</v>
      </c>
    </row>
    <row r="171" customFormat="false" ht="15" hidden="false" customHeight="false" outlineLevel="0" collapsed="false">
      <c r="A171" s="102" t="s">
        <v>755</v>
      </c>
      <c r="B171" s="102" t="s">
        <v>428</v>
      </c>
      <c r="C171" s="177" t="s">
        <v>132</v>
      </c>
      <c r="D171" s="102" t="s">
        <v>11</v>
      </c>
      <c r="E171" s="177" t="s">
        <v>21</v>
      </c>
      <c r="F171" s="177" t="s">
        <v>588</v>
      </c>
      <c r="G171" s="102" t="n">
        <v>100</v>
      </c>
      <c r="H171" s="102" t="n">
        <v>70</v>
      </c>
      <c r="I171" s="190" t="n">
        <f aca="false">IFERROR(H171/G171,0)</f>
        <v>0.7</v>
      </c>
      <c r="J171" s="186" t="n">
        <f aca="false">IF(I171&gt;=0.95,5,IF(I171&gt;=0.8,4,IF(I171&gt;=0.65,3,IF(I171&gt;=0.5,2,1))))</f>
        <v>3</v>
      </c>
      <c r="K171" s="102" t="s">
        <v>578</v>
      </c>
    </row>
    <row r="172" customFormat="false" ht="15" hidden="false" customHeight="false" outlineLevel="0" collapsed="false">
      <c r="A172" s="106" t="s">
        <v>756</v>
      </c>
      <c r="B172" s="106" t="s">
        <v>428</v>
      </c>
      <c r="C172" s="179" t="s">
        <v>132</v>
      </c>
      <c r="D172" s="106" t="s">
        <v>11</v>
      </c>
      <c r="E172" s="179" t="s">
        <v>21</v>
      </c>
      <c r="F172" s="179" t="s">
        <v>595</v>
      </c>
      <c r="G172" s="106" t="n">
        <v>90</v>
      </c>
      <c r="H172" s="106" t="n">
        <v>81</v>
      </c>
      <c r="I172" s="191" t="n">
        <f aca="false">IFERROR(H172/G172,0)</f>
        <v>0.9</v>
      </c>
      <c r="J172" s="188" t="n">
        <f aca="false">IF(I172&gt;=0.95,5,IF(I172&gt;=0.8,4,IF(I172&gt;=0.65,3,IF(I172&gt;=0.5,2,1))))</f>
        <v>4</v>
      </c>
      <c r="K172" s="106" t="s">
        <v>578</v>
      </c>
    </row>
    <row r="173" customFormat="false" ht="15" hidden="false" customHeight="false" outlineLevel="0" collapsed="false">
      <c r="A173" s="102" t="s">
        <v>757</v>
      </c>
      <c r="B173" s="102" t="s">
        <v>64</v>
      </c>
      <c r="C173" s="177" t="s">
        <v>65</v>
      </c>
      <c r="D173" s="102" t="s">
        <v>11</v>
      </c>
      <c r="E173" s="177" t="s">
        <v>21</v>
      </c>
      <c r="F173" s="177" t="s">
        <v>590</v>
      </c>
      <c r="G173" s="102" t="n">
        <v>3</v>
      </c>
      <c r="H173" s="102" t="n">
        <v>2.4</v>
      </c>
      <c r="I173" s="190" t="n">
        <f aca="false">IFERROR(H173/G173,0)</f>
        <v>0.8</v>
      </c>
      <c r="J173" s="186" t="n">
        <f aca="false">IF(I173&gt;=0.95,5,IF(I173&gt;=0.8,4,IF(I173&gt;=0.65,3,IF(I173&gt;=0.5,2,1))))</f>
        <v>4</v>
      </c>
      <c r="K173" s="102" t="s">
        <v>578</v>
      </c>
    </row>
    <row r="174" customFormat="false" ht="15" hidden="false" customHeight="false" outlineLevel="0" collapsed="false">
      <c r="A174" s="106" t="s">
        <v>758</v>
      </c>
      <c r="B174" s="106" t="s">
        <v>64</v>
      </c>
      <c r="C174" s="179" t="s">
        <v>65</v>
      </c>
      <c r="D174" s="106" t="s">
        <v>11</v>
      </c>
      <c r="E174" s="179" t="s">
        <v>21</v>
      </c>
      <c r="F174" s="179" t="s">
        <v>592</v>
      </c>
      <c r="G174" s="106" t="n">
        <v>4</v>
      </c>
      <c r="H174" s="106" t="n">
        <v>2.4</v>
      </c>
      <c r="I174" s="191" t="n">
        <f aca="false">IFERROR(H174/G174,0)</f>
        <v>0.6</v>
      </c>
      <c r="J174" s="188" t="n">
        <f aca="false">IF(I174&gt;=0.95,5,IF(I174&gt;=0.8,4,IF(I174&gt;=0.65,3,IF(I174&gt;=0.5,2,1))))</f>
        <v>2</v>
      </c>
      <c r="K174" s="106" t="s">
        <v>581</v>
      </c>
    </row>
    <row r="175" customFormat="false" ht="15" hidden="false" customHeight="false" outlineLevel="0" collapsed="false">
      <c r="A175" s="102" t="s">
        <v>759</v>
      </c>
      <c r="B175" s="102" t="s">
        <v>64</v>
      </c>
      <c r="C175" s="177" t="s">
        <v>65</v>
      </c>
      <c r="D175" s="102" t="s">
        <v>11</v>
      </c>
      <c r="E175" s="177" t="s">
        <v>21</v>
      </c>
      <c r="F175" s="177" t="s">
        <v>598</v>
      </c>
      <c r="G175" s="102" t="n">
        <v>9</v>
      </c>
      <c r="H175" s="102" t="n">
        <v>6.3</v>
      </c>
      <c r="I175" s="190" t="n">
        <f aca="false">IFERROR(H175/G175,0)</f>
        <v>0.7</v>
      </c>
      <c r="J175" s="186" t="n">
        <f aca="false">IF(I175&gt;=0.95,5,IF(I175&gt;=0.8,4,IF(I175&gt;=0.65,3,IF(I175&gt;=0.5,2,1))))</f>
        <v>3</v>
      </c>
      <c r="K175" s="102" t="s">
        <v>578</v>
      </c>
    </row>
    <row r="176" customFormat="false" ht="15" hidden="false" customHeight="false" outlineLevel="0" collapsed="false">
      <c r="A176" s="106" t="s">
        <v>760</v>
      </c>
      <c r="B176" s="106" t="s">
        <v>64</v>
      </c>
      <c r="C176" s="179" t="s">
        <v>65</v>
      </c>
      <c r="D176" s="106" t="s">
        <v>11</v>
      </c>
      <c r="E176" s="179" t="s">
        <v>21</v>
      </c>
      <c r="F176" s="179" t="s">
        <v>588</v>
      </c>
      <c r="G176" s="106" t="n">
        <v>95</v>
      </c>
      <c r="H176" s="106" t="n">
        <v>95</v>
      </c>
      <c r="I176" s="191" t="n">
        <f aca="false">IFERROR(H176/G176,0)</f>
        <v>1</v>
      </c>
      <c r="J176" s="188" t="n">
        <f aca="false">IF(I176&gt;=0.95,5,IF(I176&gt;=0.8,4,IF(I176&gt;=0.65,3,IF(I176&gt;=0.5,2,1))))</f>
        <v>5</v>
      </c>
      <c r="K176" s="106" t="s">
        <v>601</v>
      </c>
    </row>
    <row r="177" customFormat="false" ht="15" hidden="false" customHeight="false" outlineLevel="0" collapsed="false">
      <c r="A177" s="102" t="s">
        <v>761</v>
      </c>
      <c r="B177" s="102" t="s">
        <v>92</v>
      </c>
      <c r="C177" s="177" t="s">
        <v>93</v>
      </c>
      <c r="D177" s="102" t="s">
        <v>11</v>
      </c>
      <c r="E177" s="177" t="s">
        <v>22</v>
      </c>
      <c r="F177" s="177" t="s">
        <v>595</v>
      </c>
      <c r="G177" s="102" t="n">
        <v>80</v>
      </c>
      <c r="H177" s="102" t="n">
        <v>64</v>
      </c>
      <c r="I177" s="190" t="n">
        <f aca="false">IFERROR(H177/G177,0)</f>
        <v>0.8</v>
      </c>
      <c r="J177" s="186" t="n">
        <f aca="false">IF(I177&gt;=0.95,5,IF(I177&gt;=0.8,4,IF(I177&gt;=0.65,3,IF(I177&gt;=0.5,2,1))))</f>
        <v>4</v>
      </c>
      <c r="K177" s="102" t="s">
        <v>578</v>
      </c>
    </row>
    <row r="178" customFormat="false" ht="15" hidden="false" customHeight="false" outlineLevel="0" collapsed="false">
      <c r="A178" s="106" t="s">
        <v>762</v>
      </c>
      <c r="B178" s="106" t="s">
        <v>92</v>
      </c>
      <c r="C178" s="179" t="s">
        <v>93</v>
      </c>
      <c r="D178" s="106" t="s">
        <v>11</v>
      </c>
      <c r="E178" s="179" t="s">
        <v>22</v>
      </c>
      <c r="F178" s="179" t="s">
        <v>577</v>
      </c>
      <c r="G178" s="106" t="n">
        <v>90</v>
      </c>
      <c r="H178" s="106" t="n">
        <v>72</v>
      </c>
      <c r="I178" s="191" t="n">
        <f aca="false">IFERROR(H178/G178,0)</f>
        <v>0.8</v>
      </c>
      <c r="J178" s="188" t="n">
        <f aca="false">IF(I178&gt;=0.95,5,IF(I178&gt;=0.8,4,IF(I178&gt;=0.65,3,IF(I178&gt;=0.5,2,1))))</f>
        <v>4</v>
      </c>
      <c r="K178" s="106" t="s">
        <v>578</v>
      </c>
    </row>
    <row r="179" customFormat="false" ht="15" hidden="false" customHeight="false" outlineLevel="0" collapsed="false">
      <c r="A179" s="102" t="s">
        <v>763</v>
      </c>
      <c r="B179" s="102" t="s">
        <v>92</v>
      </c>
      <c r="C179" s="177" t="s">
        <v>93</v>
      </c>
      <c r="D179" s="102" t="s">
        <v>11</v>
      </c>
      <c r="E179" s="177" t="s">
        <v>22</v>
      </c>
      <c r="F179" s="177" t="s">
        <v>592</v>
      </c>
      <c r="G179" s="102" t="n">
        <v>4</v>
      </c>
      <c r="H179" s="102" t="n">
        <v>3.6</v>
      </c>
      <c r="I179" s="190" t="n">
        <f aca="false">IFERROR(H179/G179,0)</f>
        <v>0.9</v>
      </c>
      <c r="J179" s="186" t="n">
        <f aca="false">IF(I179&gt;=0.95,5,IF(I179&gt;=0.8,4,IF(I179&gt;=0.65,3,IF(I179&gt;=0.5,2,1))))</f>
        <v>4</v>
      </c>
      <c r="K179" s="102" t="s">
        <v>578</v>
      </c>
    </row>
    <row r="180" customFormat="false" ht="15" hidden="false" customHeight="false" outlineLevel="0" collapsed="false">
      <c r="A180" s="106" t="s">
        <v>764</v>
      </c>
      <c r="B180" s="106" t="s">
        <v>70</v>
      </c>
      <c r="C180" s="179" t="s">
        <v>71</v>
      </c>
      <c r="D180" s="106" t="s">
        <v>11</v>
      </c>
      <c r="E180" s="179" t="s">
        <v>22</v>
      </c>
      <c r="F180" s="179" t="s">
        <v>592</v>
      </c>
      <c r="G180" s="106" t="n">
        <v>5</v>
      </c>
      <c r="H180" s="106" t="n">
        <v>5</v>
      </c>
      <c r="I180" s="191" t="n">
        <f aca="false">IFERROR(H180/G180,0)</f>
        <v>1</v>
      </c>
      <c r="J180" s="188" t="n">
        <f aca="false">IF(I180&gt;=0.95,5,IF(I180&gt;=0.8,4,IF(I180&gt;=0.65,3,IF(I180&gt;=0.5,2,1))))</f>
        <v>5</v>
      </c>
      <c r="K180" s="106" t="s">
        <v>601</v>
      </c>
    </row>
    <row r="181" customFormat="false" ht="15" hidden="false" customHeight="false" outlineLevel="0" collapsed="false">
      <c r="A181" s="102" t="s">
        <v>765</v>
      </c>
      <c r="B181" s="102" t="s">
        <v>70</v>
      </c>
      <c r="C181" s="177" t="s">
        <v>71</v>
      </c>
      <c r="D181" s="102" t="s">
        <v>11</v>
      </c>
      <c r="E181" s="177" t="s">
        <v>22</v>
      </c>
      <c r="F181" s="177" t="s">
        <v>588</v>
      </c>
      <c r="G181" s="102" t="n">
        <v>5</v>
      </c>
      <c r="H181" s="102" t="n">
        <v>4</v>
      </c>
      <c r="I181" s="190" t="n">
        <f aca="false">IFERROR(H181/G181,0)</f>
        <v>0.8</v>
      </c>
      <c r="J181" s="186" t="n">
        <f aca="false">IF(I181&gt;=0.95,5,IF(I181&gt;=0.8,4,IF(I181&gt;=0.65,3,IF(I181&gt;=0.5,2,1))))</f>
        <v>4</v>
      </c>
      <c r="K181" s="102" t="s">
        <v>578</v>
      </c>
    </row>
    <row r="182" customFormat="false" ht="15" hidden="false" customHeight="false" outlineLevel="0" collapsed="false">
      <c r="A182" s="106" t="s">
        <v>766</v>
      </c>
      <c r="B182" s="106" t="s">
        <v>70</v>
      </c>
      <c r="C182" s="179" t="s">
        <v>71</v>
      </c>
      <c r="D182" s="106" t="s">
        <v>11</v>
      </c>
      <c r="E182" s="179" t="s">
        <v>22</v>
      </c>
      <c r="F182" s="179" t="s">
        <v>603</v>
      </c>
      <c r="G182" s="106" t="n">
        <v>95</v>
      </c>
      <c r="H182" s="106" t="n">
        <v>66.5</v>
      </c>
      <c r="I182" s="191" t="n">
        <f aca="false">IFERROR(H182/G182,0)</f>
        <v>0.7</v>
      </c>
      <c r="J182" s="188" t="n">
        <f aca="false">IF(I182&gt;=0.95,5,IF(I182&gt;=0.8,4,IF(I182&gt;=0.65,3,IF(I182&gt;=0.5,2,1))))</f>
        <v>3</v>
      </c>
      <c r="K182" s="106" t="s">
        <v>578</v>
      </c>
    </row>
    <row r="183" customFormat="false" ht="15" hidden="false" customHeight="false" outlineLevel="0" collapsed="false">
      <c r="A183" s="102" t="s">
        <v>767</v>
      </c>
      <c r="B183" s="102" t="s">
        <v>70</v>
      </c>
      <c r="C183" s="177" t="s">
        <v>71</v>
      </c>
      <c r="D183" s="102" t="s">
        <v>11</v>
      </c>
      <c r="E183" s="177" t="s">
        <v>22</v>
      </c>
      <c r="F183" s="177" t="s">
        <v>586</v>
      </c>
      <c r="G183" s="102" t="n">
        <v>6</v>
      </c>
      <c r="H183" s="102" t="n">
        <v>6</v>
      </c>
      <c r="I183" s="190" t="n">
        <f aca="false">IFERROR(H183/G183,0)</f>
        <v>1</v>
      </c>
      <c r="J183" s="186" t="n">
        <f aca="false">IF(I183&gt;=0.95,5,IF(I183&gt;=0.8,4,IF(I183&gt;=0.65,3,IF(I183&gt;=0.5,2,1))))</f>
        <v>5</v>
      </c>
      <c r="K183" s="102" t="s">
        <v>601</v>
      </c>
    </row>
    <row r="184" customFormat="false" ht="15" hidden="false" customHeight="false" outlineLevel="0" collapsed="false">
      <c r="A184" s="106" t="s">
        <v>768</v>
      </c>
      <c r="B184" s="106" t="s">
        <v>431</v>
      </c>
      <c r="C184" s="179" t="s">
        <v>432</v>
      </c>
      <c r="D184" s="106" t="s">
        <v>11</v>
      </c>
      <c r="E184" s="179" t="s">
        <v>22</v>
      </c>
      <c r="F184" s="179" t="s">
        <v>595</v>
      </c>
      <c r="G184" s="106" t="n">
        <v>20</v>
      </c>
      <c r="H184" s="106" t="n">
        <v>14</v>
      </c>
      <c r="I184" s="191" t="n">
        <f aca="false">IFERROR(H184/G184,0)</f>
        <v>0.7</v>
      </c>
      <c r="J184" s="188" t="n">
        <f aca="false">IF(I184&gt;=0.95,5,IF(I184&gt;=0.8,4,IF(I184&gt;=0.65,3,IF(I184&gt;=0.5,2,1))))</f>
        <v>3</v>
      </c>
      <c r="K184" s="106" t="s">
        <v>578</v>
      </c>
    </row>
    <row r="185" customFormat="false" ht="15" hidden="false" customHeight="false" outlineLevel="0" collapsed="false">
      <c r="A185" s="102" t="s">
        <v>769</v>
      </c>
      <c r="B185" s="102" t="s">
        <v>431</v>
      </c>
      <c r="C185" s="177" t="s">
        <v>432</v>
      </c>
      <c r="D185" s="102" t="s">
        <v>11</v>
      </c>
      <c r="E185" s="177" t="s">
        <v>22</v>
      </c>
      <c r="F185" s="177" t="s">
        <v>603</v>
      </c>
      <c r="G185" s="102" t="n">
        <v>90</v>
      </c>
      <c r="H185" s="102" t="n">
        <v>36</v>
      </c>
      <c r="I185" s="190" t="n">
        <f aca="false">IFERROR(H185/G185,0)</f>
        <v>0.4</v>
      </c>
      <c r="J185" s="186" t="n">
        <f aca="false">IF(I185&gt;=0.95,5,IF(I185&gt;=0.8,4,IF(I185&gt;=0.65,3,IF(I185&gt;=0.5,2,1))))</f>
        <v>1</v>
      </c>
      <c r="K185" s="102" t="s">
        <v>581</v>
      </c>
    </row>
    <row r="186" customFormat="false" ht="15" hidden="false" customHeight="false" outlineLevel="0" collapsed="false">
      <c r="A186" s="106" t="s">
        <v>770</v>
      </c>
      <c r="B186" s="106" t="s">
        <v>435</v>
      </c>
      <c r="C186" s="179" t="s">
        <v>436</v>
      </c>
      <c r="D186" s="106" t="s">
        <v>11</v>
      </c>
      <c r="E186" s="179" t="s">
        <v>22</v>
      </c>
      <c r="F186" s="179" t="s">
        <v>603</v>
      </c>
      <c r="G186" s="106" t="n">
        <v>20</v>
      </c>
      <c r="H186" s="106" t="n">
        <v>8</v>
      </c>
      <c r="I186" s="191" t="n">
        <f aca="false">IFERROR(H186/G186,0)</f>
        <v>0.4</v>
      </c>
      <c r="J186" s="188" t="n">
        <f aca="false">IF(I186&gt;=0.95,5,IF(I186&gt;=0.8,4,IF(I186&gt;=0.65,3,IF(I186&gt;=0.5,2,1))))</f>
        <v>1</v>
      </c>
      <c r="K186" s="106" t="s">
        <v>581</v>
      </c>
    </row>
    <row r="187" customFormat="false" ht="15" hidden="false" customHeight="false" outlineLevel="0" collapsed="false">
      <c r="A187" s="102" t="s">
        <v>771</v>
      </c>
      <c r="B187" s="102" t="s">
        <v>435</v>
      </c>
      <c r="C187" s="177" t="s">
        <v>436</v>
      </c>
      <c r="D187" s="102" t="s">
        <v>11</v>
      </c>
      <c r="E187" s="177" t="s">
        <v>22</v>
      </c>
      <c r="F187" s="177" t="s">
        <v>577</v>
      </c>
      <c r="G187" s="102" t="n">
        <v>90</v>
      </c>
      <c r="H187" s="102" t="n">
        <v>72</v>
      </c>
      <c r="I187" s="190" t="n">
        <f aca="false">IFERROR(H187/G187,0)</f>
        <v>0.8</v>
      </c>
      <c r="J187" s="186" t="n">
        <f aca="false">IF(I187&gt;=0.95,5,IF(I187&gt;=0.8,4,IF(I187&gt;=0.65,3,IF(I187&gt;=0.5,2,1))))</f>
        <v>4</v>
      </c>
      <c r="K187" s="102" t="s">
        <v>578</v>
      </c>
    </row>
    <row r="188" customFormat="false" ht="15" hidden="false" customHeight="false" outlineLevel="0" collapsed="false">
      <c r="A188" s="106" t="s">
        <v>772</v>
      </c>
      <c r="B188" s="106" t="s">
        <v>435</v>
      </c>
      <c r="C188" s="179" t="s">
        <v>436</v>
      </c>
      <c r="D188" s="106" t="s">
        <v>11</v>
      </c>
      <c r="E188" s="179" t="s">
        <v>22</v>
      </c>
      <c r="F188" s="179" t="s">
        <v>592</v>
      </c>
      <c r="G188" s="106" t="n">
        <v>10</v>
      </c>
      <c r="H188" s="106" t="n">
        <v>8</v>
      </c>
      <c r="I188" s="191" t="n">
        <f aca="false">IFERROR(H188/G188,0)</f>
        <v>0.8</v>
      </c>
      <c r="J188" s="188" t="n">
        <f aca="false">IF(I188&gt;=0.95,5,IF(I188&gt;=0.8,4,IF(I188&gt;=0.65,3,IF(I188&gt;=0.5,2,1))))</f>
        <v>4</v>
      </c>
      <c r="K188" s="106" t="s">
        <v>578</v>
      </c>
    </row>
    <row r="189" customFormat="false" ht="15" hidden="false" customHeight="false" outlineLevel="0" collapsed="false">
      <c r="A189" s="102" t="s">
        <v>773</v>
      </c>
      <c r="B189" s="102" t="s">
        <v>438</v>
      </c>
      <c r="C189" s="177" t="s">
        <v>439</v>
      </c>
      <c r="D189" s="102" t="s">
        <v>11</v>
      </c>
      <c r="E189" s="177" t="s">
        <v>22</v>
      </c>
      <c r="F189" s="177" t="s">
        <v>583</v>
      </c>
      <c r="G189" s="102" t="n">
        <v>100</v>
      </c>
      <c r="H189" s="102" t="n">
        <v>80</v>
      </c>
      <c r="I189" s="190" t="n">
        <f aca="false">IFERROR(H189/G189,0)</f>
        <v>0.8</v>
      </c>
      <c r="J189" s="186" t="n">
        <f aca="false">IF(I189&gt;=0.95,5,IF(I189&gt;=0.8,4,IF(I189&gt;=0.65,3,IF(I189&gt;=0.5,2,1))))</f>
        <v>4</v>
      </c>
      <c r="K189" s="102" t="s">
        <v>578</v>
      </c>
    </row>
    <row r="190" customFormat="false" ht="15" hidden="false" customHeight="false" outlineLevel="0" collapsed="false">
      <c r="A190" s="106" t="s">
        <v>774</v>
      </c>
      <c r="B190" s="106" t="s">
        <v>438</v>
      </c>
      <c r="C190" s="179" t="s">
        <v>439</v>
      </c>
      <c r="D190" s="106" t="s">
        <v>11</v>
      </c>
      <c r="E190" s="179" t="s">
        <v>22</v>
      </c>
      <c r="F190" s="179" t="s">
        <v>592</v>
      </c>
      <c r="G190" s="106" t="n">
        <v>8</v>
      </c>
      <c r="H190" s="106" t="n">
        <v>4.8</v>
      </c>
      <c r="I190" s="191" t="n">
        <f aca="false">IFERROR(H190/G190,0)</f>
        <v>0.6</v>
      </c>
      <c r="J190" s="188" t="n">
        <f aca="false">IF(I190&gt;=0.95,5,IF(I190&gt;=0.8,4,IF(I190&gt;=0.65,3,IF(I190&gt;=0.5,2,1))))</f>
        <v>2</v>
      </c>
      <c r="K190" s="106" t="s">
        <v>581</v>
      </c>
    </row>
    <row r="191" customFormat="false" ht="15" hidden="false" customHeight="false" outlineLevel="0" collapsed="false">
      <c r="A191" s="102" t="s">
        <v>775</v>
      </c>
      <c r="B191" s="102" t="s">
        <v>438</v>
      </c>
      <c r="C191" s="177" t="s">
        <v>439</v>
      </c>
      <c r="D191" s="102" t="s">
        <v>11</v>
      </c>
      <c r="E191" s="177" t="s">
        <v>22</v>
      </c>
      <c r="F191" s="177" t="s">
        <v>598</v>
      </c>
      <c r="G191" s="102" t="n">
        <v>4</v>
      </c>
      <c r="H191" s="102" t="n">
        <v>3.2</v>
      </c>
      <c r="I191" s="190" t="n">
        <f aca="false">IFERROR(H191/G191,0)</f>
        <v>0.8</v>
      </c>
      <c r="J191" s="186" t="n">
        <f aca="false">IF(I191&gt;=0.95,5,IF(I191&gt;=0.8,4,IF(I191&gt;=0.65,3,IF(I191&gt;=0.5,2,1))))</f>
        <v>4</v>
      </c>
      <c r="K191" s="102" t="s">
        <v>578</v>
      </c>
    </row>
    <row r="192" customFormat="false" ht="15" hidden="false" customHeight="false" outlineLevel="0" collapsed="false">
      <c r="A192" s="106" t="s">
        <v>776</v>
      </c>
      <c r="B192" s="106" t="s">
        <v>438</v>
      </c>
      <c r="C192" s="179" t="s">
        <v>439</v>
      </c>
      <c r="D192" s="106" t="s">
        <v>11</v>
      </c>
      <c r="E192" s="179" t="s">
        <v>22</v>
      </c>
      <c r="F192" s="179" t="s">
        <v>595</v>
      </c>
      <c r="G192" s="106" t="n">
        <v>100</v>
      </c>
      <c r="H192" s="106" t="n">
        <v>80</v>
      </c>
      <c r="I192" s="191" t="n">
        <f aca="false">IFERROR(H192/G192,0)</f>
        <v>0.8</v>
      </c>
      <c r="J192" s="188" t="n">
        <f aca="false">IF(I192&gt;=0.95,5,IF(I192&gt;=0.8,4,IF(I192&gt;=0.65,3,IF(I192&gt;=0.5,2,1))))</f>
        <v>4</v>
      </c>
      <c r="K192" s="106" t="s">
        <v>578</v>
      </c>
    </row>
    <row r="193" customFormat="false" ht="15" hidden="false" customHeight="false" outlineLevel="0" collapsed="false">
      <c r="A193" s="102" t="s">
        <v>777</v>
      </c>
      <c r="B193" s="102" t="s">
        <v>60</v>
      </c>
      <c r="C193" s="177" t="s">
        <v>61</v>
      </c>
      <c r="D193" s="102" t="s">
        <v>11</v>
      </c>
      <c r="E193" s="177" t="s">
        <v>22</v>
      </c>
      <c r="F193" s="177" t="s">
        <v>603</v>
      </c>
      <c r="G193" s="102" t="n">
        <v>5</v>
      </c>
      <c r="H193" s="102" t="n">
        <v>4</v>
      </c>
      <c r="I193" s="190" t="n">
        <f aca="false">IFERROR(H193/G193,0)</f>
        <v>0.8</v>
      </c>
      <c r="J193" s="186" t="n">
        <f aca="false">IF(I193&gt;=0.95,5,IF(I193&gt;=0.8,4,IF(I193&gt;=0.65,3,IF(I193&gt;=0.5,2,1))))</f>
        <v>4</v>
      </c>
      <c r="K193" s="102" t="s">
        <v>578</v>
      </c>
    </row>
    <row r="194" customFormat="false" ht="15" hidden="false" customHeight="false" outlineLevel="0" collapsed="false">
      <c r="A194" s="106" t="s">
        <v>778</v>
      </c>
      <c r="B194" s="106" t="s">
        <v>60</v>
      </c>
      <c r="C194" s="179" t="s">
        <v>61</v>
      </c>
      <c r="D194" s="106" t="s">
        <v>11</v>
      </c>
      <c r="E194" s="179" t="s">
        <v>22</v>
      </c>
      <c r="F194" s="179" t="s">
        <v>588</v>
      </c>
      <c r="G194" s="106" t="n">
        <v>80</v>
      </c>
      <c r="H194" s="106" t="n">
        <v>64</v>
      </c>
      <c r="I194" s="191" t="n">
        <f aca="false">IFERROR(H194/G194,0)</f>
        <v>0.8</v>
      </c>
      <c r="J194" s="188" t="n">
        <f aca="false">IF(I194&gt;=0.95,5,IF(I194&gt;=0.8,4,IF(I194&gt;=0.65,3,IF(I194&gt;=0.5,2,1))))</f>
        <v>4</v>
      </c>
      <c r="K194" s="106" t="s">
        <v>578</v>
      </c>
    </row>
    <row r="195" customFormat="false" ht="15" hidden="false" customHeight="false" outlineLevel="0" collapsed="false">
      <c r="A195" s="102" t="s">
        <v>779</v>
      </c>
      <c r="B195" s="102" t="s">
        <v>60</v>
      </c>
      <c r="C195" s="177" t="s">
        <v>61</v>
      </c>
      <c r="D195" s="102" t="s">
        <v>11</v>
      </c>
      <c r="E195" s="177" t="s">
        <v>22</v>
      </c>
      <c r="F195" s="177" t="s">
        <v>592</v>
      </c>
      <c r="G195" s="102" t="n">
        <v>4</v>
      </c>
      <c r="H195" s="102" t="n">
        <v>3.2</v>
      </c>
      <c r="I195" s="190" t="n">
        <f aca="false">IFERROR(H195/G195,0)</f>
        <v>0.8</v>
      </c>
      <c r="J195" s="186" t="n">
        <f aca="false">IF(I195&gt;=0.95,5,IF(I195&gt;=0.8,4,IF(I195&gt;=0.65,3,IF(I195&gt;=0.5,2,1))))</f>
        <v>4</v>
      </c>
      <c r="K195" s="102" t="s">
        <v>578</v>
      </c>
    </row>
    <row r="196" customFormat="false" ht="15" hidden="false" customHeight="false" outlineLevel="0" collapsed="false">
      <c r="A196" s="106" t="s">
        <v>780</v>
      </c>
      <c r="B196" s="106" t="s">
        <v>58</v>
      </c>
      <c r="C196" s="179" t="s">
        <v>59</v>
      </c>
      <c r="D196" s="106" t="s">
        <v>11</v>
      </c>
      <c r="E196" s="179" t="s">
        <v>23</v>
      </c>
      <c r="F196" s="179" t="s">
        <v>588</v>
      </c>
      <c r="G196" s="106" t="n">
        <v>100</v>
      </c>
      <c r="H196" s="106" t="n">
        <v>80</v>
      </c>
      <c r="I196" s="191" t="n">
        <f aca="false">IFERROR(H196/G196,0)</f>
        <v>0.8</v>
      </c>
      <c r="J196" s="188" t="n">
        <f aca="false">IF(I196&gt;=0.95,5,IF(I196&gt;=0.8,4,IF(I196&gt;=0.65,3,IF(I196&gt;=0.5,2,1))))</f>
        <v>4</v>
      </c>
      <c r="K196" s="106" t="s">
        <v>578</v>
      </c>
    </row>
    <row r="197" customFormat="false" ht="15" hidden="false" customHeight="false" outlineLevel="0" collapsed="false">
      <c r="A197" s="102" t="s">
        <v>781</v>
      </c>
      <c r="B197" s="102" t="s">
        <v>58</v>
      </c>
      <c r="C197" s="177" t="s">
        <v>59</v>
      </c>
      <c r="D197" s="102" t="s">
        <v>11</v>
      </c>
      <c r="E197" s="177" t="s">
        <v>23</v>
      </c>
      <c r="F197" s="177" t="s">
        <v>577</v>
      </c>
      <c r="G197" s="102" t="n">
        <v>95</v>
      </c>
      <c r="H197" s="102" t="n">
        <v>85.5</v>
      </c>
      <c r="I197" s="190" t="n">
        <f aca="false">IFERROR(H197/G197,0)</f>
        <v>0.9</v>
      </c>
      <c r="J197" s="186" t="n">
        <f aca="false">IF(I197&gt;=0.95,5,IF(I197&gt;=0.8,4,IF(I197&gt;=0.65,3,IF(I197&gt;=0.5,2,1))))</f>
        <v>4</v>
      </c>
      <c r="K197" s="102" t="s">
        <v>578</v>
      </c>
    </row>
    <row r="198" customFormat="false" ht="15" hidden="false" customHeight="false" outlineLevel="0" collapsed="false">
      <c r="A198" s="106" t="s">
        <v>782</v>
      </c>
      <c r="B198" s="106" t="s">
        <v>94</v>
      </c>
      <c r="C198" s="179" t="s">
        <v>95</v>
      </c>
      <c r="D198" s="106" t="s">
        <v>11</v>
      </c>
      <c r="E198" s="179" t="s">
        <v>23</v>
      </c>
      <c r="F198" s="179" t="s">
        <v>586</v>
      </c>
      <c r="G198" s="106" t="n">
        <v>8</v>
      </c>
      <c r="H198" s="106" t="n">
        <v>8</v>
      </c>
      <c r="I198" s="191" t="n">
        <f aca="false">IFERROR(H198/G198,0)</f>
        <v>1</v>
      </c>
      <c r="J198" s="188" t="n">
        <f aca="false">IF(I198&gt;=0.95,5,IF(I198&gt;=0.8,4,IF(I198&gt;=0.65,3,IF(I198&gt;=0.5,2,1))))</f>
        <v>5</v>
      </c>
      <c r="K198" s="106" t="s">
        <v>601</v>
      </c>
    </row>
    <row r="199" customFormat="false" ht="15" hidden="false" customHeight="false" outlineLevel="0" collapsed="false">
      <c r="A199" s="102" t="s">
        <v>783</v>
      </c>
      <c r="B199" s="102" t="s">
        <v>94</v>
      </c>
      <c r="C199" s="177" t="s">
        <v>95</v>
      </c>
      <c r="D199" s="102" t="s">
        <v>11</v>
      </c>
      <c r="E199" s="177" t="s">
        <v>23</v>
      </c>
      <c r="F199" s="177" t="s">
        <v>592</v>
      </c>
      <c r="G199" s="102" t="n">
        <v>9</v>
      </c>
      <c r="H199" s="102" t="n">
        <v>8.1</v>
      </c>
      <c r="I199" s="190" t="n">
        <f aca="false">IFERROR(H199/G199,0)</f>
        <v>0.9</v>
      </c>
      <c r="J199" s="186" t="n">
        <f aca="false">IF(I199&gt;=0.95,5,IF(I199&gt;=0.8,4,IF(I199&gt;=0.65,3,IF(I199&gt;=0.5,2,1))))</f>
        <v>4</v>
      </c>
      <c r="K199" s="102" t="s">
        <v>578</v>
      </c>
    </row>
    <row r="200" customFormat="false" ht="15" hidden="false" customHeight="false" outlineLevel="0" collapsed="false">
      <c r="A200" s="106" t="s">
        <v>784</v>
      </c>
      <c r="B200" s="106" t="s">
        <v>94</v>
      </c>
      <c r="C200" s="179" t="s">
        <v>95</v>
      </c>
      <c r="D200" s="106" t="s">
        <v>11</v>
      </c>
      <c r="E200" s="179" t="s">
        <v>23</v>
      </c>
      <c r="F200" s="179" t="s">
        <v>583</v>
      </c>
      <c r="G200" s="106" t="n">
        <v>95</v>
      </c>
      <c r="H200" s="106" t="n">
        <v>95</v>
      </c>
      <c r="I200" s="191" t="n">
        <f aca="false">IFERROR(H200/G200,0)</f>
        <v>1</v>
      </c>
      <c r="J200" s="188" t="n">
        <f aca="false">IF(I200&gt;=0.95,5,IF(I200&gt;=0.8,4,IF(I200&gt;=0.65,3,IF(I200&gt;=0.5,2,1))))</f>
        <v>5</v>
      </c>
      <c r="K200" s="106" t="s">
        <v>601</v>
      </c>
    </row>
    <row r="201" customFormat="false" ht="15" hidden="false" customHeight="false" outlineLevel="0" collapsed="false">
      <c r="A201" s="102" t="s">
        <v>785</v>
      </c>
      <c r="B201" s="102" t="s">
        <v>444</v>
      </c>
      <c r="C201" s="177" t="s">
        <v>445</v>
      </c>
      <c r="D201" s="102" t="s">
        <v>11</v>
      </c>
      <c r="E201" s="177" t="s">
        <v>23</v>
      </c>
      <c r="F201" s="177" t="s">
        <v>580</v>
      </c>
      <c r="G201" s="102" t="n">
        <v>4</v>
      </c>
      <c r="H201" s="102" t="n">
        <v>3.6</v>
      </c>
      <c r="I201" s="190" t="n">
        <f aca="false">IFERROR(H201/G201,0)</f>
        <v>0.9</v>
      </c>
      <c r="J201" s="186" t="n">
        <f aca="false">IF(I201&gt;=0.95,5,IF(I201&gt;=0.8,4,IF(I201&gt;=0.65,3,IF(I201&gt;=0.5,2,1))))</f>
        <v>4</v>
      </c>
      <c r="K201" s="102" t="s">
        <v>578</v>
      </c>
    </row>
    <row r="202" customFormat="false" ht="15" hidden="false" customHeight="false" outlineLevel="0" collapsed="false">
      <c r="A202" s="106" t="s">
        <v>786</v>
      </c>
      <c r="B202" s="106" t="s">
        <v>444</v>
      </c>
      <c r="C202" s="179" t="s">
        <v>445</v>
      </c>
      <c r="D202" s="106" t="s">
        <v>11</v>
      </c>
      <c r="E202" s="179" t="s">
        <v>23</v>
      </c>
      <c r="F202" s="179" t="s">
        <v>586</v>
      </c>
      <c r="G202" s="106" t="n">
        <v>8</v>
      </c>
      <c r="H202" s="106" t="n">
        <v>4.8</v>
      </c>
      <c r="I202" s="191" t="n">
        <f aca="false">IFERROR(H202/G202,0)</f>
        <v>0.6</v>
      </c>
      <c r="J202" s="188" t="n">
        <f aca="false">IF(I202&gt;=0.95,5,IF(I202&gt;=0.8,4,IF(I202&gt;=0.65,3,IF(I202&gt;=0.5,2,1))))</f>
        <v>2</v>
      </c>
      <c r="K202" s="106" t="s">
        <v>581</v>
      </c>
    </row>
    <row r="203" customFormat="false" ht="15" hidden="false" customHeight="false" outlineLevel="0" collapsed="false">
      <c r="A203" s="102" t="s">
        <v>787</v>
      </c>
      <c r="B203" s="102" t="s">
        <v>444</v>
      </c>
      <c r="C203" s="177" t="s">
        <v>445</v>
      </c>
      <c r="D203" s="102" t="s">
        <v>11</v>
      </c>
      <c r="E203" s="177" t="s">
        <v>23</v>
      </c>
      <c r="F203" s="177" t="s">
        <v>595</v>
      </c>
      <c r="G203" s="102" t="n">
        <v>10</v>
      </c>
      <c r="H203" s="102" t="n">
        <v>7</v>
      </c>
      <c r="I203" s="190" t="n">
        <f aca="false">IFERROR(H203/G203,0)</f>
        <v>0.7</v>
      </c>
      <c r="J203" s="186" t="n">
        <f aca="false">IF(I203&gt;=0.95,5,IF(I203&gt;=0.8,4,IF(I203&gt;=0.65,3,IF(I203&gt;=0.5,2,1))))</f>
        <v>3</v>
      </c>
      <c r="K203" s="102" t="s">
        <v>578</v>
      </c>
    </row>
    <row r="204" customFormat="false" ht="15" hidden="false" customHeight="false" outlineLevel="0" collapsed="false">
      <c r="A204" s="106" t="s">
        <v>788</v>
      </c>
      <c r="B204" s="106" t="s">
        <v>446</v>
      </c>
      <c r="C204" s="179" t="s">
        <v>134</v>
      </c>
      <c r="D204" s="106" t="s">
        <v>11</v>
      </c>
      <c r="E204" s="179" t="s">
        <v>23</v>
      </c>
      <c r="F204" s="179" t="s">
        <v>592</v>
      </c>
      <c r="G204" s="106" t="n">
        <v>5</v>
      </c>
      <c r="H204" s="106" t="n">
        <v>2</v>
      </c>
      <c r="I204" s="191" t="n">
        <f aca="false">IFERROR(H204/G204,0)</f>
        <v>0.4</v>
      </c>
      <c r="J204" s="188" t="n">
        <f aca="false">IF(I204&gt;=0.95,5,IF(I204&gt;=0.8,4,IF(I204&gt;=0.65,3,IF(I204&gt;=0.5,2,1))))</f>
        <v>1</v>
      </c>
      <c r="K204" s="106" t="s">
        <v>581</v>
      </c>
    </row>
    <row r="205" customFormat="false" ht="15" hidden="false" customHeight="false" outlineLevel="0" collapsed="false">
      <c r="A205" s="102" t="s">
        <v>789</v>
      </c>
      <c r="B205" s="102" t="s">
        <v>446</v>
      </c>
      <c r="C205" s="177" t="s">
        <v>134</v>
      </c>
      <c r="D205" s="102" t="s">
        <v>11</v>
      </c>
      <c r="E205" s="177" t="s">
        <v>23</v>
      </c>
      <c r="F205" s="177" t="s">
        <v>580</v>
      </c>
      <c r="G205" s="102" t="n">
        <v>10</v>
      </c>
      <c r="H205" s="102" t="n">
        <v>9</v>
      </c>
      <c r="I205" s="190" t="n">
        <f aca="false">IFERROR(H205/G205,0)</f>
        <v>0.9</v>
      </c>
      <c r="J205" s="186" t="n">
        <f aca="false">IF(I205&gt;=0.95,5,IF(I205&gt;=0.8,4,IF(I205&gt;=0.65,3,IF(I205&gt;=0.5,2,1))))</f>
        <v>4</v>
      </c>
      <c r="K205" s="102" t="s">
        <v>578</v>
      </c>
    </row>
    <row r="206" customFormat="false" ht="15" hidden="false" customHeight="false" outlineLevel="0" collapsed="false">
      <c r="A206" s="106" t="s">
        <v>790</v>
      </c>
      <c r="B206" s="106" t="s">
        <v>447</v>
      </c>
      <c r="C206" s="179" t="s">
        <v>448</v>
      </c>
      <c r="D206" s="106" t="s">
        <v>11</v>
      </c>
      <c r="E206" s="179" t="s">
        <v>23</v>
      </c>
      <c r="F206" s="179" t="s">
        <v>598</v>
      </c>
      <c r="G206" s="106" t="n">
        <v>4</v>
      </c>
      <c r="H206" s="106" t="n">
        <v>3.2</v>
      </c>
      <c r="I206" s="191" t="n">
        <f aca="false">IFERROR(H206/G206,0)</f>
        <v>0.8</v>
      </c>
      <c r="J206" s="188" t="n">
        <f aca="false">IF(I206&gt;=0.95,5,IF(I206&gt;=0.8,4,IF(I206&gt;=0.65,3,IF(I206&gt;=0.5,2,1))))</f>
        <v>4</v>
      </c>
      <c r="K206" s="106" t="s">
        <v>578</v>
      </c>
    </row>
    <row r="207" customFormat="false" ht="15" hidden="false" customHeight="false" outlineLevel="0" collapsed="false">
      <c r="A207" s="102" t="s">
        <v>791</v>
      </c>
      <c r="B207" s="102" t="s">
        <v>447</v>
      </c>
      <c r="C207" s="177" t="s">
        <v>448</v>
      </c>
      <c r="D207" s="102" t="s">
        <v>11</v>
      </c>
      <c r="E207" s="177" t="s">
        <v>23</v>
      </c>
      <c r="F207" s="177" t="s">
        <v>580</v>
      </c>
      <c r="G207" s="102" t="n">
        <v>8</v>
      </c>
      <c r="H207" s="102" t="n">
        <v>4.8</v>
      </c>
      <c r="I207" s="190" t="n">
        <f aca="false">IFERROR(H207/G207,0)</f>
        <v>0.6</v>
      </c>
      <c r="J207" s="186" t="n">
        <f aca="false">IF(I207&gt;=0.95,5,IF(I207&gt;=0.8,4,IF(I207&gt;=0.65,3,IF(I207&gt;=0.5,2,1))))</f>
        <v>2</v>
      </c>
      <c r="K207" s="102" t="s">
        <v>581</v>
      </c>
    </row>
    <row r="208" customFormat="false" ht="15" hidden="false" customHeight="false" outlineLevel="0" collapsed="false">
      <c r="A208" s="106" t="s">
        <v>792</v>
      </c>
      <c r="B208" s="106" t="s">
        <v>158</v>
      </c>
      <c r="C208" s="179" t="s">
        <v>128</v>
      </c>
      <c r="D208" s="106" t="s">
        <v>11</v>
      </c>
      <c r="E208" s="179" t="s">
        <v>24</v>
      </c>
      <c r="F208" s="179" t="s">
        <v>586</v>
      </c>
      <c r="G208" s="106" t="n">
        <v>5</v>
      </c>
      <c r="H208" s="106" t="n">
        <v>3.5</v>
      </c>
      <c r="I208" s="191" t="n">
        <f aca="false">IFERROR(H208/G208,0)</f>
        <v>0.7</v>
      </c>
      <c r="J208" s="188" t="n">
        <f aca="false">IF(I208&gt;=0.95,5,IF(I208&gt;=0.8,4,IF(I208&gt;=0.65,3,IF(I208&gt;=0.5,2,1))))</f>
        <v>3</v>
      </c>
      <c r="K208" s="106" t="s">
        <v>578</v>
      </c>
    </row>
    <row r="209" customFormat="false" ht="15" hidden="false" customHeight="false" outlineLevel="0" collapsed="false">
      <c r="A209" s="102" t="s">
        <v>793</v>
      </c>
      <c r="B209" s="102" t="s">
        <v>158</v>
      </c>
      <c r="C209" s="177" t="s">
        <v>128</v>
      </c>
      <c r="D209" s="102" t="s">
        <v>11</v>
      </c>
      <c r="E209" s="177" t="s">
        <v>24</v>
      </c>
      <c r="F209" s="177" t="s">
        <v>595</v>
      </c>
      <c r="G209" s="102" t="n">
        <v>100</v>
      </c>
      <c r="H209" s="102" t="n">
        <v>90</v>
      </c>
      <c r="I209" s="190" t="n">
        <f aca="false">IFERROR(H209/G209,0)</f>
        <v>0.9</v>
      </c>
      <c r="J209" s="186" t="n">
        <f aca="false">IF(I209&gt;=0.95,5,IF(I209&gt;=0.8,4,IF(I209&gt;=0.65,3,IF(I209&gt;=0.5,2,1))))</f>
        <v>4</v>
      </c>
      <c r="K209" s="102" t="s">
        <v>578</v>
      </c>
    </row>
    <row r="210" customFormat="false" ht="15" hidden="false" customHeight="false" outlineLevel="0" collapsed="false">
      <c r="A210" s="106" t="s">
        <v>794</v>
      </c>
      <c r="B210" s="106" t="s">
        <v>158</v>
      </c>
      <c r="C210" s="179" t="s">
        <v>128</v>
      </c>
      <c r="D210" s="106" t="s">
        <v>11</v>
      </c>
      <c r="E210" s="179" t="s">
        <v>24</v>
      </c>
      <c r="F210" s="179" t="s">
        <v>590</v>
      </c>
      <c r="G210" s="106" t="n">
        <v>10</v>
      </c>
      <c r="H210" s="106" t="n">
        <v>8</v>
      </c>
      <c r="I210" s="191" t="n">
        <f aca="false">IFERROR(H210/G210,0)</f>
        <v>0.8</v>
      </c>
      <c r="J210" s="188" t="n">
        <f aca="false">IF(I210&gt;=0.95,5,IF(I210&gt;=0.8,4,IF(I210&gt;=0.65,3,IF(I210&gt;=0.5,2,1))))</f>
        <v>4</v>
      </c>
      <c r="K210" s="106" t="s">
        <v>578</v>
      </c>
    </row>
    <row r="211" customFormat="false" ht="15" hidden="false" customHeight="false" outlineLevel="0" collapsed="false">
      <c r="A211" s="102" t="s">
        <v>795</v>
      </c>
      <c r="B211" s="102" t="s">
        <v>158</v>
      </c>
      <c r="C211" s="177" t="s">
        <v>128</v>
      </c>
      <c r="D211" s="102" t="s">
        <v>11</v>
      </c>
      <c r="E211" s="177" t="s">
        <v>24</v>
      </c>
      <c r="F211" s="177" t="s">
        <v>598</v>
      </c>
      <c r="G211" s="102" t="n">
        <v>6</v>
      </c>
      <c r="H211" s="102" t="n">
        <v>4.8</v>
      </c>
      <c r="I211" s="190" t="n">
        <f aca="false">IFERROR(H211/G211,0)</f>
        <v>0.8</v>
      </c>
      <c r="J211" s="186" t="n">
        <f aca="false">IF(I211&gt;=0.95,5,IF(I211&gt;=0.8,4,IF(I211&gt;=0.65,3,IF(I211&gt;=0.5,2,1))))</f>
        <v>4</v>
      </c>
      <c r="K211" s="102" t="s">
        <v>578</v>
      </c>
    </row>
    <row r="212" customFormat="false" ht="15" hidden="false" customHeight="false" outlineLevel="0" collapsed="false">
      <c r="A212" s="106" t="s">
        <v>796</v>
      </c>
      <c r="B212" s="106" t="s">
        <v>159</v>
      </c>
      <c r="C212" s="179" t="s">
        <v>160</v>
      </c>
      <c r="D212" s="106" t="s">
        <v>11</v>
      </c>
      <c r="E212" s="179" t="s">
        <v>24</v>
      </c>
      <c r="F212" s="179" t="s">
        <v>588</v>
      </c>
      <c r="G212" s="106" t="n">
        <v>100</v>
      </c>
      <c r="H212" s="106" t="n">
        <v>70</v>
      </c>
      <c r="I212" s="191" t="n">
        <f aca="false">IFERROR(H212/G212,0)</f>
        <v>0.7</v>
      </c>
      <c r="J212" s="188" t="n">
        <f aca="false">IF(I212&gt;=0.95,5,IF(I212&gt;=0.8,4,IF(I212&gt;=0.65,3,IF(I212&gt;=0.5,2,1))))</f>
        <v>3</v>
      </c>
      <c r="K212" s="106" t="s">
        <v>578</v>
      </c>
    </row>
    <row r="213" customFormat="false" ht="15" hidden="false" customHeight="false" outlineLevel="0" collapsed="false">
      <c r="A213" s="102" t="s">
        <v>797</v>
      </c>
      <c r="B213" s="102" t="s">
        <v>159</v>
      </c>
      <c r="C213" s="177" t="s">
        <v>160</v>
      </c>
      <c r="D213" s="102" t="s">
        <v>11</v>
      </c>
      <c r="E213" s="177" t="s">
        <v>24</v>
      </c>
      <c r="F213" s="177" t="s">
        <v>592</v>
      </c>
      <c r="G213" s="102" t="n">
        <v>9</v>
      </c>
      <c r="H213" s="102" t="n">
        <v>3.6</v>
      </c>
      <c r="I213" s="190" t="n">
        <f aca="false">IFERROR(H213/G213,0)</f>
        <v>0.4</v>
      </c>
      <c r="J213" s="186" t="n">
        <f aca="false">IF(I213&gt;=0.95,5,IF(I213&gt;=0.8,4,IF(I213&gt;=0.65,3,IF(I213&gt;=0.5,2,1))))</f>
        <v>1</v>
      </c>
      <c r="K213" s="102" t="s">
        <v>581</v>
      </c>
    </row>
    <row r="214" customFormat="false" ht="15" hidden="false" customHeight="false" outlineLevel="0" collapsed="false">
      <c r="A214" s="106" t="s">
        <v>798</v>
      </c>
      <c r="B214" s="106" t="s">
        <v>159</v>
      </c>
      <c r="C214" s="179" t="s">
        <v>160</v>
      </c>
      <c r="D214" s="106" t="s">
        <v>11</v>
      </c>
      <c r="E214" s="179" t="s">
        <v>24</v>
      </c>
      <c r="F214" s="179" t="s">
        <v>577</v>
      </c>
      <c r="G214" s="106" t="n">
        <v>20</v>
      </c>
      <c r="H214" s="106" t="n">
        <v>16</v>
      </c>
      <c r="I214" s="191" t="n">
        <f aca="false">IFERROR(H214/G214,0)</f>
        <v>0.8</v>
      </c>
      <c r="J214" s="188" t="n">
        <f aca="false">IF(I214&gt;=0.95,5,IF(I214&gt;=0.8,4,IF(I214&gt;=0.65,3,IF(I214&gt;=0.5,2,1))))</f>
        <v>4</v>
      </c>
      <c r="K214" s="106" t="s">
        <v>578</v>
      </c>
    </row>
    <row r="215" customFormat="false" ht="15" hidden="false" customHeight="false" outlineLevel="0" collapsed="false">
      <c r="A215" s="102" t="s">
        <v>799</v>
      </c>
      <c r="B215" s="102" t="s">
        <v>452</v>
      </c>
      <c r="C215" s="177" t="s">
        <v>453</v>
      </c>
      <c r="D215" s="102" t="s">
        <v>11</v>
      </c>
      <c r="E215" s="177" t="s">
        <v>24</v>
      </c>
      <c r="F215" s="177" t="s">
        <v>577</v>
      </c>
      <c r="G215" s="102" t="n">
        <v>5</v>
      </c>
      <c r="H215" s="102" t="n">
        <v>2.5</v>
      </c>
      <c r="I215" s="190" t="n">
        <f aca="false">IFERROR(H215/G215,0)</f>
        <v>0.5</v>
      </c>
      <c r="J215" s="186" t="n">
        <f aca="false">IF(I215&gt;=0.95,5,IF(I215&gt;=0.8,4,IF(I215&gt;=0.65,3,IF(I215&gt;=0.5,2,1))))</f>
        <v>2</v>
      </c>
      <c r="K215" s="102" t="s">
        <v>581</v>
      </c>
    </row>
    <row r="216" customFormat="false" ht="15" hidden="false" customHeight="false" outlineLevel="0" collapsed="false">
      <c r="A216" s="106" t="s">
        <v>800</v>
      </c>
      <c r="B216" s="106" t="s">
        <v>452</v>
      </c>
      <c r="C216" s="179" t="s">
        <v>453</v>
      </c>
      <c r="D216" s="106" t="s">
        <v>11</v>
      </c>
      <c r="E216" s="179" t="s">
        <v>24</v>
      </c>
      <c r="F216" s="179" t="s">
        <v>592</v>
      </c>
      <c r="G216" s="106" t="n">
        <v>7</v>
      </c>
      <c r="H216" s="106" t="n">
        <v>7</v>
      </c>
      <c r="I216" s="191" t="n">
        <f aca="false">IFERROR(H216/G216,0)</f>
        <v>1</v>
      </c>
      <c r="J216" s="188" t="n">
        <f aca="false">IF(I216&gt;=0.95,5,IF(I216&gt;=0.8,4,IF(I216&gt;=0.65,3,IF(I216&gt;=0.5,2,1))))</f>
        <v>5</v>
      </c>
      <c r="K216" s="106" t="s">
        <v>601</v>
      </c>
    </row>
    <row r="217" customFormat="false" ht="15" hidden="false" customHeight="false" outlineLevel="0" collapsed="false">
      <c r="A217" s="102" t="s">
        <v>801</v>
      </c>
      <c r="B217" s="102" t="s">
        <v>454</v>
      </c>
      <c r="C217" s="177" t="s">
        <v>455</v>
      </c>
      <c r="D217" s="102" t="s">
        <v>11</v>
      </c>
      <c r="E217" s="177" t="s">
        <v>24</v>
      </c>
      <c r="F217" s="177" t="s">
        <v>577</v>
      </c>
      <c r="G217" s="102" t="n">
        <v>20</v>
      </c>
      <c r="H217" s="102" t="n">
        <v>16</v>
      </c>
      <c r="I217" s="190" t="n">
        <f aca="false">IFERROR(H217/G217,0)</f>
        <v>0.8</v>
      </c>
      <c r="J217" s="186" t="n">
        <f aca="false">IF(I217&gt;=0.95,5,IF(I217&gt;=0.8,4,IF(I217&gt;=0.65,3,IF(I217&gt;=0.5,2,1))))</f>
        <v>4</v>
      </c>
      <c r="K217" s="102" t="s">
        <v>578</v>
      </c>
    </row>
    <row r="218" customFormat="false" ht="15" hidden="false" customHeight="false" outlineLevel="0" collapsed="false">
      <c r="A218" s="106" t="s">
        <v>802</v>
      </c>
      <c r="B218" s="106" t="s">
        <v>454</v>
      </c>
      <c r="C218" s="179" t="s">
        <v>455</v>
      </c>
      <c r="D218" s="106" t="s">
        <v>11</v>
      </c>
      <c r="E218" s="179" t="s">
        <v>24</v>
      </c>
      <c r="F218" s="179" t="s">
        <v>590</v>
      </c>
      <c r="G218" s="106" t="n">
        <v>10</v>
      </c>
      <c r="H218" s="106" t="n">
        <v>6</v>
      </c>
      <c r="I218" s="191" t="n">
        <f aca="false">IFERROR(H218/G218,0)</f>
        <v>0.6</v>
      </c>
      <c r="J218" s="188" t="n">
        <f aca="false">IF(I218&gt;=0.95,5,IF(I218&gt;=0.8,4,IF(I218&gt;=0.65,3,IF(I218&gt;=0.5,2,1))))</f>
        <v>2</v>
      </c>
      <c r="K218" s="106" t="s">
        <v>581</v>
      </c>
    </row>
    <row r="219" customFormat="false" ht="15" hidden="false" customHeight="false" outlineLevel="0" collapsed="false">
      <c r="A219" s="102" t="s">
        <v>803</v>
      </c>
      <c r="B219" s="102" t="s">
        <v>454</v>
      </c>
      <c r="C219" s="177" t="s">
        <v>455</v>
      </c>
      <c r="D219" s="102" t="s">
        <v>11</v>
      </c>
      <c r="E219" s="177" t="s">
        <v>24</v>
      </c>
      <c r="F219" s="177" t="s">
        <v>595</v>
      </c>
      <c r="G219" s="102" t="n">
        <v>100</v>
      </c>
      <c r="H219" s="102" t="n">
        <v>100</v>
      </c>
      <c r="I219" s="190" t="n">
        <f aca="false">IFERROR(H219/G219,0)</f>
        <v>1</v>
      </c>
      <c r="J219" s="186" t="n">
        <f aca="false">IF(I219&gt;=0.95,5,IF(I219&gt;=0.8,4,IF(I219&gt;=0.65,3,IF(I219&gt;=0.5,2,1))))</f>
        <v>5</v>
      </c>
      <c r="K219" s="102" t="s">
        <v>601</v>
      </c>
    </row>
    <row r="220" customFormat="false" ht="15" hidden="false" customHeight="false" outlineLevel="0" collapsed="false">
      <c r="A220" s="106" t="s">
        <v>804</v>
      </c>
      <c r="B220" s="106" t="s">
        <v>456</v>
      </c>
      <c r="C220" s="179" t="s">
        <v>69</v>
      </c>
      <c r="D220" s="106" t="s">
        <v>11</v>
      </c>
      <c r="E220" s="179" t="s">
        <v>24</v>
      </c>
      <c r="F220" s="179" t="s">
        <v>586</v>
      </c>
      <c r="G220" s="106" t="n">
        <v>8</v>
      </c>
      <c r="H220" s="106" t="n">
        <v>7.2</v>
      </c>
      <c r="I220" s="191" t="n">
        <f aca="false">IFERROR(H220/G220,0)</f>
        <v>0.9</v>
      </c>
      <c r="J220" s="188" t="n">
        <f aca="false">IF(I220&gt;=0.95,5,IF(I220&gt;=0.8,4,IF(I220&gt;=0.65,3,IF(I220&gt;=0.5,2,1))))</f>
        <v>4</v>
      </c>
      <c r="K220" s="106" t="s">
        <v>578</v>
      </c>
    </row>
    <row r="221" customFormat="false" ht="15" hidden="false" customHeight="false" outlineLevel="0" collapsed="false">
      <c r="A221" s="102" t="s">
        <v>805</v>
      </c>
      <c r="B221" s="102" t="s">
        <v>456</v>
      </c>
      <c r="C221" s="177" t="s">
        <v>69</v>
      </c>
      <c r="D221" s="102" t="s">
        <v>11</v>
      </c>
      <c r="E221" s="177" t="s">
        <v>24</v>
      </c>
      <c r="F221" s="177" t="s">
        <v>598</v>
      </c>
      <c r="G221" s="102" t="n">
        <v>4</v>
      </c>
      <c r="H221" s="102" t="n">
        <v>2.4</v>
      </c>
      <c r="I221" s="190" t="n">
        <f aca="false">IFERROR(H221/G221,0)</f>
        <v>0.6</v>
      </c>
      <c r="J221" s="186" t="n">
        <f aca="false">IF(I221&gt;=0.95,5,IF(I221&gt;=0.8,4,IF(I221&gt;=0.65,3,IF(I221&gt;=0.5,2,1))))</f>
        <v>2</v>
      </c>
      <c r="K221" s="102" t="s">
        <v>581</v>
      </c>
    </row>
    <row r="222" customFormat="false" ht="15" hidden="false" customHeight="false" outlineLevel="0" collapsed="false">
      <c r="A222" s="106" t="s">
        <v>806</v>
      </c>
      <c r="B222" s="106" t="s">
        <v>458</v>
      </c>
      <c r="C222" s="179" t="s">
        <v>459</v>
      </c>
      <c r="D222" s="106" t="s">
        <v>11</v>
      </c>
      <c r="E222" s="179" t="s">
        <v>24</v>
      </c>
      <c r="F222" s="179" t="s">
        <v>595</v>
      </c>
      <c r="G222" s="106" t="n">
        <v>95</v>
      </c>
      <c r="H222" s="106" t="n">
        <v>47.5</v>
      </c>
      <c r="I222" s="191" t="n">
        <f aca="false">IFERROR(H222/G222,0)</f>
        <v>0.5</v>
      </c>
      <c r="J222" s="188" t="n">
        <f aca="false">IF(I222&gt;=0.95,5,IF(I222&gt;=0.8,4,IF(I222&gt;=0.65,3,IF(I222&gt;=0.5,2,1))))</f>
        <v>2</v>
      </c>
      <c r="K222" s="106" t="s">
        <v>581</v>
      </c>
    </row>
    <row r="223" customFormat="false" ht="15" hidden="false" customHeight="false" outlineLevel="0" collapsed="false">
      <c r="A223" s="102" t="s">
        <v>807</v>
      </c>
      <c r="B223" s="102" t="s">
        <v>458</v>
      </c>
      <c r="C223" s="177" t="s">
        <v>459</v>
      </c>
      <c r="D223" s="102" t="s">
        <v>11</v>
      </c>
      <c r="E223" s="177" t="s">
        <v>24</v>
      </c>
      <c r="F223" s="177" t="s">
        <v>583</v>
      </c>
      <c r="G223" s="102" t="n">
        <v>10</v>
      </c>
      <c r="H223" s="102" t="n">
        <v>6</v>
      </c>
      <c r="I223" s="190" t="n">
        <f aca="false">IFERROR(H223/G223,0)</f>
        <v>0.6</v>
      </c>
      <c r="J223" s="186" t="n">
        <f aca="false">IF(I223&gt;=0.95,5,IF(I223&gt;=0.8,4,IF(I223&gt;=0.65,3,IF(I223&gt;=0.5,2,1))))</f>
        <v>2</v>
      </c>
      <c r="K223" s="102" t="s">
        <v>581</v>
      </c>
    </row>
    <row r="224" customFormat="false" ht="15" hidden="false" customHeight="false" outlineLevel="0" collapsed="false">
      <c r="A224" s="106" t="s">
        <v>808</v>
      </c>
      <c r="B224" s="106" t="s">
        <v>460</v>
      </c>
      <c r="C224" s="179" t="s">
        <v>461</v>
      </c>
      <c r="D224" s="106" t="s">
        <v>11</v>
      </c>
      <c r="E224" s="179" t="s">
        <v>24</v>
      </c>
      <c r="F224" s="179" t="s">
        <v>603</v>
      </c>
      <c r="G224" s="106" t="n">
        <v>80</v>
      </c>
      <c r="H224" s="106" t="n">
        <v>72</v>
      </c>
      <c r="I224" s="191" t="n">
        <f aca="false">IFERROR(H224/G224,0)</f>
        <v>0.9</v>
      </c>
      <c r="J224" s="188" t="n">
        <f aca="false">IF(I224&gt;=0.95,5,IF(I224&gt;=0.8,4,IF(I224&gt;=0.65,3,IF(I224&gt;=0.5,2,1))))</f>
        <v>4</v>
      </c>
      <c r="K224" s="106" t="s">
        <v>578</v>
      </c>
    </row>
    <row r="225" customFormat="false" ht="15" hidden="false" customHeight="false" outlineLevel="0" collapsed="false">
      <c r="A225" s="102" t="s">
        <v>809</v>
      </c>
      <c r="B225" s="102" t="s">
        <v>460</v>
      </c>
      <c r="C225" s="177" t="s">
        <v>461</v>
      </c>
      <c r="D225" s="102" t="s">
        <v>11</v>
      </c>
      <c r="E225" s="177" t="s">
        <v>24</v>
      </c>
      <c r="F225" s="177" t="s">
        <v>583</v>
      </c>
      <c r="G225" s="102" t="n">
        <v>5</v>
      </c>
      <c r="H225" s="102" t="n">
        <v>2.5</v>
      </c>
      <c r="I225" s="190" t="n">
        <f aca="false">IFERROR(H225/G225,0)</f>
        <v>0.5</v>
      </c>
      <c r="J225" s="186" t="n">
        <f aca="false">IF(I225&gt;=0.95,5,IF(I225&gt;=0.8,4,IF(I225&gt;=0.65,3,IF(I225&gt;=0.5,2,1))))</f>
        <v>2</v>
      </c>
      <c r="K225" s="102" t="s">
        <v>581</v>
      </c>
    </row>
    <row r="226" customFormat="false" ht="15" hidden="false" customHeight="false" outlineLevel="0" collapsed="false">
      <c r="A226" s="106" t="s">
        <v>810</v>
      </c>
      <c r="B226" s="106" t="s">
        <v>460</v>
      </c>
      <c r="C226" s="179" t="s">
        <v>461</v>
      </c>
      <c r="D226" s="106" t="s">
        <v>11</v>
      </c>
      <c r="E226" s="179" t="s">
        <v>24</v>
      </c>
      <c r="F226" s="179" t="s">
        <v>598</v>
      </c>
      <c r="G226" s="106" t="n">
        <v>4</v>
      </c>
      <c r="H226" s="106" t="n">
        <v>2.8</v>
      </c>
      <c r="I226" s="191" t="n">
        <f aca="false">IFERROR(H226/G226,0)</f>
        <v>0.7</v>
      </c>
      <c r="J226" s="188" t="n">
        <f aca="false">IF(I226&gt;=0.95,5,IF(I226&gt;=0.8,4,IF(I226&gt;=0.65,3,IF(I226&gt;=0.5,2,1))))</f>
        <v>3</v>
      </c>
      <c r="K226" s="106" t="s">
        <v>578</v>
      </c>
    </row>
    <row r="227" customFormat="false" ht="15" hidden="false" customHeight="false" outlineLevel="0" collapsed="false">
      <c r="A227" s="102" t="s">
        <v>811</v>
      </c>
      <c r="B227" s="102" t="s">
        <v>463</v>
      </c>
      <c r="C227" s="177" t="s">
        <v>464</v>
      </c>
      <c r="D227" s="102" t="s">
        <v>11</v>
      </c>
      <c r="E227" s="177" t="s">
        <v>24</v>
      </c>
      <c r="F227" s="177" t="s">
        <v>598</v>
      </c>
      <c r="G227" s="102" t="n">
        <v>9</v>
      </c>
      <c r="H227" s="102" t="n">
        <v>7.2</v>
      </c>
      <c r="I227" s="190" t="n">
        <f aca="false">IFERROR(H227/G227,0)</f>
        <v>0.8</v>
      </c>
      <c r="J227" s="186" t="n">
        <f aca="false">IF(I227&gt;=0.95,5,IF(I227&gt;=0.8,4,IF(I227&gt;=0.65,3,IF(I227&gt;=0.5,2,1))))</f>
        <v>4</v>
      </c>
      <c r="K227" s="102" t="s">
        <v>578</v>
      </c>
    </row>
    <row r="228" customFormat="false" ht="15" hidden="false" customHeight="false" outlineLevel="0" collapsed="false">
      <c r="A228" s="106" t="s">
        <v>812</v>
      </c>
      <c r="B228" s="106" t="s">
        <v>463</v>
      </c>
      <c r="C228" s="179" t="s">
        <v>464</v>
      </c>
      <c r="D228" s="106" t="s">
        <v>11</v>
      </c>
      <c r="E228" s="179" t="s">
        <v>24</v>
      </c>
      <c r="F228" s="179" t="s">
        <v>583</v>
      </c>
      <c r="G228" s="106" t="n">
        <v>80</v>
      </c>
      <c r="H228" s="106" t="n">
        <v>80</v>
      </c>
      <c r="I228" s="191" t="n">
        <f aca="false">IFERROR(H228/G228,0)</f>
        <v>1</v>
      </c>
      <c r="J228" s="188" t="n">
        <f aca="false">IF(I228&gt;=0.95,5,IF(I228&gt;=0.8,4,IF(I228&gt;=0.65,3,IF(I228&gt;=0.5,2,1))))</f>
        <v>5</v>
      </c>
      <c r="K228" s="106" t="s">
        <v>601</v>
      </c>
    </row>
    <row r="229" customFormat="false" ht="15" hidden="false" customHeight="false" outlineLevel="0" collapsed="false">
      <c r="A229" s="102" t="s">
        <v>813</v>
      </c>
      <c r="B229" s="102" t="s">
        <v>463</v>
      </c>
      <c r="C229" s="177" t="s">
        <v>464</v>
      </c>
      <c r="D229" s="102" t="s">
        <v>11</v>
      </c>
      <c r="E229" s="177" t="s">
        <v>24</v>
      </c>
      <c r="F229" s="177" t="s">
        <v>588</v>
      </c>
      <c r="G229" s="102" t="n">
        <v>5</v>
      </c>
      <c r="H229" s="102" t="n">
        <v>4</v>
      </c>
      <c r="I229" s="190" t="n">
        <f aca="false">IFERROR(H229/G229,0)</f>
        <v>0.8</v>
      </c>
      <c r="J229" s="186" t="n">
        <f aca="false">IF(I229&gt;=0.95,5,IF(I229&gt;=0.8,4,IF(I229&gt;=0.65,3,IF(I229&gt;=0.5,2,1))))</f>
        <v>4</v>
      </c>
      <c r="K229" s="102" t="s">
        <v>578</v>
      </c>
    </row>
    <row r="230" customFormat="false" ht="15" hidden="false" customHeight="false" outlineLevel="0" collapsed="false">
      <c r="A230" s="106" t="s">
        <v>814</v>
      </c>
      <c r="B230" s="106" t="s">
        <v>66</v>
      </c>
      <c r="C230" s="179" t="s">
        <v>67</v>
      </c>
      <c r="D230" s="106" t="s">
        <v>11</v>
      </c>
      <c r="E230" s="179" t="s">
        <v>25</v>
      </c>
      <c r="F230" s="179" t="s">
        <v>595</v>
      </c>
      <c r="G230" s="106" t="n">
        <v>5</v>
      </c>
      <c r="H230" s="106" t="n">
        <v>4.5</v>
      </c>
      <c r="I230" s="191" t="n">
        <f aca="false">IFERROR(H230/G230,0)</f>
        <v>0.9</v>
      </c>
      <c r="J230" s="188" t="n">
        <f aca="false">IF(I230&gt;=0.95,5,IF(I230&gt;=0.8,4,IF(I230&gt;=0.65,3,IF(I230&gt;=0.5,2,1))))</f>
        <v>4</v>
      </c>
      <c r="K230" s="106" t="s">
        <v>578</v>
      </c>
    </row>
    <row r="231" customFormat="false" ht="15" hidden="false" customHeight="false" outlineLevel="0" collapsed="false">
      <c r="A231" s="102" t="s">
        <v>815</v>
      </c>
      <c r="B231" s="102" t="s">
        <v>66</v>
      </c>
      <c r="C231" s="177" t="s">
        <v>67</v>
      </c>
      <c r="D231" s="102" t="s">
        <v>11</v>
      </c>
      <c r="E231" s="177" t="s">
        <v>25</v>
      </c>
      <c r="F231" s="177" t="s">
        <v>580</v>
      </c>
      <c r="G231" s="102" t="n">
        <v>5</v>
      </c>
      <c r="H231" s="102" t="n">
        <v>3.5</v>
      </c>
      <c r="I231" s="190" t="n">
        <f aca="false">IFERROR(H231/G231,0)</f>
        <v>0.7</v>
      </c>
      <c r="J231" s="186" t="n">
        <f aca="false">IF(I231&gt;=0.95,5,IF(I231&gt;=0.8,4,IF(I231&gt;=0.65,3,IF(I231&gt;=0.5,2,1))))</f>
        <v>3</v>
      </c>
      <c r="K231" s="102" t="s">
        <v>578</v>
      </c>
    </row>
    <row r="232" customFormat="false" ht="15" hidden="false" customHeight="false" outlineLevel="0" collapsed="false">
      <c r="A232" s="106" t="s">
        <v>816</v>
      </c>
      <c r="B232" s="106" t="s">
        <v>66</v>
      </c>
      <c r="C232" s="179" t="s">
        <v>67</v>
      </c>
      <c r="D232" s="106" t="s">
        <v>11</v>
      </c>
      <c r="E232" s="179" t="s">
        <v>25</v>
      </c>
      <c r="F232" s="179" t="s">
        <v>586</v>
      </c>
      <c r="G232" s="106" t="n">
        <v>8</v>
      </c>
      <c r="H232" s="106" t="n">
        <v>8</v>
      </c>
      <c r="I232" s="191" t="n">
        <f aca="false">IFERROR(H232/G232,0)</f>
        <v>1</v>
      </c>
      <c r="J232" s="188" t="n">
        <f aca="false">IF(I232&gt;=0.95,5,IF(I232&gt;=0.8,4,IF(I232&gt;=0.65,3,IF(I232&gt;=0.5,2,1))))</f>
        <v>5</v>
      </c>
      <c r="K232" s="106" t="s">
        <v>601</v>
      </c>
    </row>
    <row r="233" customFormat="false" ht="15" hidden="false" customHeight="false" outlineLevel="0" collapsed="false">
      <c r="A233" s="102" t="s">
        <v>817</v>
      </c>
      <c r="B233" s="102" t="s">
        <v>66</v>
      </c>
      <c r="C233" s="177" t="s">
        <v>67</v>
      </c>
      <c r="D233" s="102" t="s">
        <v>11</v>
      </c>
      <c r="E233" s="177" t="s">
        <v>25</v>
      </c>
      <c r="F233" s="177" t="s">
        <v>583</v>
      </c>
      <c r="G233" s="102" t="n">
        <v>100</v>
      </c>
      <c r="H233" s="102" t="n">
        <v>60</v>
      </c>
      <c r="I233" s="190" t="n">
        <f aca="false">IFERROR(H233/G233,0)</f>
        <v>0.6</v>
      </c>
      <c r="J233" s="186" t="n">
        <f aca="false">IF(I233&gt;=0.95,5,IF(I233&gt;=0.8,4,IF(I233&gt;=0.65,3,IF(I233&gt;=0.5,2,1))))</f>
        <v>2</v>
      </c>
      <c r="K233" s="102" t="s">
        <v>581</v>
      </c>
    </row>
    <row r="234" customFormat="false" ht="15" hidden="false" customHeight="false" outlineLevel="0" collapsed="false">
      <c r="A234" s="106" t="s">
        <v>818</v>
      </c>
      <c r="B234" s="106" t="s">
        <v>88</v>
      </c>
      <c r="C234" s="179" t="s">
        <v>89</v>
      </c>
      <c r="D234" s="106" t="s">
        <v>11</v>
      </c>
      <c r="E234" s="179" t="s">
        <v>25</v>
      </c>
      <c r="F234" s="179" t="s">
        <v>586</v>
      </c>
      <c r="G234" s="106" t="n">
        <v>3</v>
      </c>
      <c r="H234" s="106" t="n">
        <v>2.7</v>
      </c>
      <c r="I234" s="191" t="n">
        <f aca="false">IFERROR(H234/G234,0)</f>
        <v>0.9</v>
      </c>
      <c r="J234" s="188" t="n">
        <f aca="false">IF(I234&gt;=0.95,5,IF(I234&gt;=0.8,4,IF(I234&gt;=0.65,3,IF(I234&gt;=0.5,2,1))))</f>
        <v>4</v>
      </c>
      <c r="K234" s="106" t="s">
        <v>578</v>
      </c>
    </row>
    <row r="235" customFormat="false" ht="15" hidden="false" customHeight="false" outlineLevel="0" collapsed="false">
      <c r="A235" s="102" t="s">
        <v>819</v>
      </c>
      <c r="B235" s="102" t="s">
        <v>88</v>
      </c>
      <c r="C235" s="177" t="s">
        <v>89</v>
      </c>
      <c r="D235" s="102" t="s">
        <v>11</v>
      </c>
      <c r="E235" s="177" t="s">
        <v>25</v>
      </c>
      <c r="F235" s="177" t="s">
        <v>592</v>
      </c>
      <c r="G235" s="102" t="n">
        <v>8</v>
      </c>
      <c r="H235" s="102" t="n">
        <v>7.2</v>
      </c>
      <c r="I235" s="190" t="n">
        <f aca="false">IFERROR(H235/G235,0)</f>
        <v>0.9</v>
      </c>
      <c r="J235" s="186" t="n">
        <f aca="false">IF(I235&gt;=0.95,5,IF(I235&gt;=0.8,4,IF(I235&gt;=0.65,3,IF(I235&gt;=0.5,2,1))))</f>
        <v>4</v>
      </c>
      <c r="K235" s="102" t="s">
        <v>578</v>
      </c>
    </row>
    <row r="236" customFormat="false" ht="15" hidden="false" customHeight="false" outlineLevel="0" collapsed="false">
      <c r="A236" s="106" t="s">
        <v>820</v>
      </c>
      <c r="B236" s="106" t="s">
        <v>88</v>
      </c>
      <c r="C236" s="179" t="s">
        <v>89</v>
      </c>
      <c r="D236" s="106" t="s">
        <v>11</v>
      </c>
      <c r="E236" s="179" t="s">
        <v>25</v>
      </c>
      <c r="F236" s="179" t="s">
        <v>580</v>
      </c>
      <c r="G236" s="106" t="n">
        <v>8</v>
      </c>
      <c r="H236" s="106" t="n">
        <v>8</v>
      </c>
      <c r="I236" s="191" t="n">
        <f aca="false">IFERROR(H236/G236,0)</f>
        <v>1</v>
      </c>
      <c r="J236" s="188" t="n">
        <f aca="false">IF(I236&gt;=0.95,5,IF(I236&gt;=0.8,4,IF(I236&gt;=0.65,3,IF(I236&gt;=0.5,2,1))))</f>
        <v>5</v>
      </c>
      <c r="K236" s="106" t="s">
        <v>601</v>
      </c>
    </row>
    <row r="237" customFormat="false" ht="15" hidden="false" customHeight="false" outlineLevel="0" collapsed="false">
      <c r="A237" s="102" t="s">
        <v>821</v>
      </c>
      <c r="B237" s="102" t="s">
        <v>88</v>
      </c>
      <c r="C237" s="177" t="s">
        <v>89</v>
      </c>
      <c r="D237" s="102" t="s">
        <v>11</v>
      </c>
      <c r="E237" s="177" t="s">
        <v>25</v>
      </c>
      <c r="F237" s="177" t="s">
        <v>590</v>
      </c>
      <c r="G237" s="102" t="n">
        <v>8</v>
      </c>
      <c r="H237" s="102" t="n">
        <v>4.8</v>
      </c>
      <c r="I237" s="190" t="n">
        <f aca="false">IFERROR(H237/G237,0)</f>
        <v>0.6</v>
      </c>
      <c r="J237" s="186" t="n">
        <f aca="false">IF(I237&gt;=0.95,5,IF(I237&gt;=0.8,4,IF(I237&gt;=0.65,3,IF(I237&gt;=0.5,2,1))))</f>
        <v>2</v>
      </c>
      <c r="K237" s="102" t="s">
        <v>581</v>
      </c>
    </row>
    <row r="238" customFormat="false" ht="15" hidden="false" customHeight="false" outlineLevel="0" collapsed="false">
      <c r="A238" s="106" t="s">
        <v>822</v>
      </c>
      <c r="B238" s="106" t="s">
        <v>467</v>
      </c>
      <c r="C238" s="179" t="s">
        <v>468</v>
      </c>
      <c r="D238" s="106" t="s">
        <v>11</v>
      </c>
      <c r="E238" s="179" t="s">
        <v>25</v>
      </c>
      <c r="F238" s="179" t="s">
        <v>577</v>
      </c>
      <c r="G238" s="106" t="n">
        <v>90</v>
      </c>
      <c r="H238" s="106" t="n">
        <v>90</v>
      </c>
      <c r="I238" s="191" t="n">
        <f aca="false">IFERROR(H238/G238,0)</f>
        <v>1</v>
      </c>
      <c r="J238" s="188" t="n">
        <f aca="false">IF(I238&gt;=0.95,5,IF(I238&gt;=0.8,4,IF(I238&gt;=0.65,3,IF(I238&gt;=0.5,2,1))))</f>
        <v>5</v>
      </c>
      <c r="K238" s="106" t="s">
        <v>601</v>
      </c>
    </row>
    <row r="239" customFormat="false" ht="15" hidden="false" customHeight="false" outlineLevel="0" collapsed="false">
      <c r="A239" s="102" t="s">
        <v>823</v>
      </c>
      <c r="B239" s="102" t="s">
        <v>467</v>
      </c>
      <c r="C239" s="177" t="s">
        <v>468</v>
      </c>
      <c r="D239" s="102" t="s">
        <v>11</v>
      </c>
      <c r="E239" s="177" t="s">
        <v>25</v>
      </c>
      <c r="F239" s="177" t="s">
        <v>603</v>
      </c>
      <c r="G239" s="102" t="n">
        <v>80</v>
      </c>
      <c r="H239" s="102" t="n">
        <v>72</v>
      </c>
      <c r="I239" s="190" t="n">
        <f aca="false">IFERROR(H239/G239,0)</f>
        <v>0.9</v>
      </c>
      <c r="J239" s="186" t="n">
        <f aca="false">IF(I239&gt;=0.95,5,IF(I239&gt;=0.8,4,IF(I239&gt;=0.65,3,IF(I239&gt;=0.5,2,1))))</f>
        <v>4</v>
      </c>
      <c r="K239" s="102" t="s">
        <v>578</v>
      </c>
    </row>
    <row r="240" customFormat="false" ht="15" hidden="false" customHeight="false" outlineLevel="0" collapsed="false">
      <c r="A240" s="106" t="s">
        <v>824</v>
      </c>
      <c r="B240" s="106" t="s">
        <v>467</v>
      </c>
      <c r="C240" s="179" t="s">
        <v>468</v>
      </c>
      <c r="D240" s="106" t="s">
        <v>11</v>
      </c>
      <c r="E240" s="179" t="s">
        <v>25</v>
      </c>
      <c r="F240" s="179" t="s">
        <v>595</v>
      </c>
      <c r="G240" s="106" t="n">
        <v>20</v>
      </c>
      <c r="H240" s="106" t="n">
        <v>18</v>
      </c>
      <c r="I240" s="191" t="n">
        <f aca="false">IFERROR(H240/G240,0)</f>
        <v>0.9</v>
      </c>
      <c r="J240" s="188" t="n">
        <f aca="false">IF(I240&gt;=0.95,5,IF(I240&gt;=0.8,4,IF(I240&gt;=0.65,3,IF(I240&gt;=0.5,2,1))))</f>
        <v>4</v>
      </c>
      <c r="K240" s="106" t="s">
        <v>578</v>
      </c>
    </row>
    <row r="241" customFormat="false" ht="15" hidden="false" customHeight="false" outlineLevel="0" collapsed="false">
      <c r="A241" s="102" t="s">
        <v>825</v>
      </c>
      <c r="B241" s="102" t="s">
        <v>467</v>
      </c>
      <c r="C241" s="177" t="s">
        <v>468</v>
      </c>
      <c r="D241" s="102" t="s">
        <v>11</v>
      </c>
      <c r="E241" s="177" t="s">
        <v>25</v>
      </c>
      <c r="F241" s="177" t="s">
        <v>586</v>
      </c>
      <c r="G241" s="102" t="n">
        <v>8</v>
      </c>
      <c r="H241" s="102" t="n">
        <v>4</v>
      </c>
      <c r="I241" s="190" t="n">
        <f aca="false">IFERROR(H241/G241,0)</f>
        <v>0.5</v>
      </c>
      <c r="J241" s="186" t="n">
        <f aca="false">IF(I241&gt;=0.95,5,IF(I241&gt;=0.8,4,IF(I241&gt;=0.65,3,IF(I241&gt;=0.5,2,1))))</f>
        <v>2</v>
      </c>
      <c r="K241" s="102" t="s">
        <v>581</v>
      </c>
    </row>
    <row r="242" customFormat="false" ht="15" hidden="false" customHeight="false" outlineLevel="0" collapsed="false">
      <c r="A242" s="106" t="s">
        <v>826</v>
      </c>
      <c r="B242" s="106" t="s">
        <v>469</v>
      </c>
      <c r="C242" s="179" t="s">
        <v>470</v>
      </c>
      <c r="D242" s="106" t="s">
        <v>11</v>
      </c>
      <c r="E242" s="179" t="s">
        <v>25</v>
      </c>
      <c r="F242" s="179" t="s">
        <v>577</v>
      </c>
      <c r="G242" s="106" t="n">
        <v>10</v>
      </c>
      <c r="H242" s="106" t="n">
        <v>9</v>
      </c>
      <c r="I242" s="191" t="n">
        <f aca="false">IFERROR(H242/G242,0)</f>
        <v>0.9</v>
      </c>
      <c r="J242" s="188" t="n">
        <f aca="false">IF(I242&gt;=0.95,5,IF(I242&gt;=0.8,4,IF(I242&gt;=0.65,3,IF(I242&gt;=0.5,2,1))))</f>
        <v>4</v>
      </c>
      <c r="K242" s="106" t="s">
        <v>578</v>
      </c>
    </row>
    <row r="243" customFormat="false" ht="15" hidden="false" customHeight="false" outlineLevel="0" collapsed="false">
      <c r="A243" s="102" t="s">
        <v>827</v>
      </c>
      <c r="B243" s="102" t="s">
        <v>469</v>
      </c>
      <c r="C243" s="177" t="s">
        <v>470</v>
      </c>
      <c r="D243" s="102" t="s">
        <v>11</v>
      </c>
      <c r="E243" s="177" t="s">
        <v>25</v>
      </c>
      <c r="F243" s="177" t="s">
        <v>580</v>
      </c>
      <c r="G243" s="102" t="n">
        <v>3</v>
      </c>
      <c r="H243" s="102" t="n">
        <v>1.8</v>
      </c>
      <c r="I243" s="190" t="n">
        <f aca="false">IFERROR(H243/G243,0)</f>
        <v>0.6</v>
      </c>
      <c r="J243" s="186" t="n">
        <f aca="false">IF(I243&gt;=0.95,5,IF(I243&gt;=0.8,4,IF(I243&gt;=0.65,3,IF(I243&gt;=0.5,2,1))))</f>
        <v>2</v>
      </c>
      <c r="K243" s="102" t="s">
        <v>581</v>
      </c>
    </row>
    <row r="244" customFormat="false" ht="15" hidden="false" customHeight="false" outlineLevel="0" collapsed="false">
      <c r="A244" s="106" t="s">
        <v>828</v>
      </c>
      <c r="B244" s="106" t="s">
        <v>469</v>
      </c>
      <c r="C244" s="179" t="s">
        <v>470</v>
      </c>
      <c r="D244" s="106" t="s">
        <v>11</v>
      </c>
      <c r="E244" s="179" t="s">
        <v>25</v>
      </c>
      <c r="F244" s="179" t="s">
        <v>583</v>
      </c>
      <c r="G244" s="106" t="n">
        <v>95</v>
      </c>
      <c r="H244" s="106" t="n">
        <v>95</v>
      </c>
      <c r="I244" s="191" t="n">
        <f aca="false">IFERROR(H244/G244,0)</f>
        <v>1</v>
      </c>
      <c r="J244" s="188" t="n">
        <f aca="false">IF(I244&gt;=0.95,5,IF(I244&gt;=0.8,4,IF(I244&gt;=0.65,3,IF(I244&gt;=0.5,2,1))))</f>
        <v>5</v>
      </c>
      <c r="K244" s="106" t="s">
        <v>601</v>
      </c>
    </row>
    <row r="245" customFormat="false" ht="15" hidden="false" customHeight="false" outlineLevel="0" collapsed="false">
      <c r="A245" s="102" t="s">
        <v>829</v>
      </c>
      <c r="B245" s="102" t="s">
        <v>469</v>
      </c>
      <c r="C245" s="177" t="s">
        <v>470</v>
      </c>
      <c r="D245" s="102" t="s">
        <v>11</v>
      </c>
      <c r="E245" s="177" t="s">
        <v>25</v>
      </c>
      <c r="F245" s="177" t="s">
        <v>586</v>
      </c>
      <c r="G245" s="102" t="n">
        <v>9</v>
      </c>
      <c r="H245" s="102" t="n">
        <v>5.4</v>
      </c>
      <c r="I245" s="190" t="n">
        <f aca="false">IFERROR(H245/G245,0)</f>
        <v>0.6</v>
      </c>
      <c r="J245" s="186" t="n">
        <f aca="false">IF(I245&gt;=0.95,5,IF(I245&gt;=0.8,4,IF(I245&gt;=0.65,3,IF(I245&gt;=0.5,2,1))))</f>
        <v>2</v>
      </c>
      <c r="K245" s="102" t="s">
        <v>581</v>
      </c>
    </row>
    <row r="246" customFormat="false" ht="15" hidden="false" customHeight="false" outlineLevel="0" collapsed="false">
      <c r="A246" s="106" t="s">
        <v>830</v>
      </c>
      <c r="B246" s="106" t="s">
        <v>472</v>
      </c>
      <c r="C246" s="179" t="s">
        <v>473</v>
      </c>
      <c r="D246" s="106" t="s">
        <v>11</v>
      </c>
      <c r="E246" s="179" t="s">
        <v>25</v>
      </c>
      <c r="F246" s="179" t="s">
        <v>592</v>
      </c>
      <c r="G246" s="106" t="n">
        <v>10</v>
      </c>
      <c r="H246" s="106" t="n">
        <v>9</v>
      </c>
      <c r="I246" s="191" t="n">
        <f aca="false">IFERROR(H246/G246,0)</f>
        <v>0.9</v>
      </c>
      <c r="J246" s="188" t="n">
        <f aca="false">IF(I246&gt;=0.95,5,IF(I246&gt;=0.8,4,IF(I246&gt;=0.65,3,IF(I246&gt;=0.5,2,1))))</f>
        <v>4</v>
      </c>
      <c r="K246" s="106" t="s">
        <v>578</v>
      </c>
    </row>
    <row r="247" customFormat="false" ht="15" hidden="false" customHeight="false" outlineLevel="0" collapsed="false">
      <c r="A247" s="102" t="s">
        <v>831</v>
      </c>
      <c r="B247" s="102" t="s">
        <v>472</v>
      </c>
      <c r="C247" s="177" t="s">
        <v>473</v>
      </c>
      <c r="D247" s="102" t="s">
        <v>11</v>
      </c>
      <c r="E247" s="177" t="s">
        <v>25</v>
      </c>
      <c r="F247" s="177" t="s">
        <v>595</v>
      </c>
      <c r="G247" s="102" t="n">
        <v>20</v>
      </c>
      <c r="H247" s="102" t="n">
        <v>20</v>
      </c>
      <c r="I247" s="190" t="n">
        <f aca="false">IFERROR(H247/G247,0)</f>
        <v>1</v>
      </c>
      <c r="J247" s="186" t="n">
        <f aca="false">IF(I247&gt;=0.95,5,IF(I247&gt;=0.8,4,IF(I247&gt;=0.65,3,IF(I247&gt;=0.5,2,1))))</f>
        <v>5</v>
      </c>
      <c r="K247" s="102" t="s">
        <v>601</v>
      </c>
    </row>
    <row r="248" customFormat="false" ht="15" hidden="false" customHeight="false" outlineLevel="0" collapsed="false">
      <c r="A248" s="106" t="s">
        <v>832</v>
      </c>
      <c r="B248" s="106" t="s">
        <v>472</v>
      </c>
      <c r="C248" s="179" t="s">
        <v>473</v>
      </c>
      <c r="D248" s="106" t="s">
        <v>11</v>
      </c>
      <c r="E248" s="179" t="s">
        <v>25</v>
      </c>
      <c r="F248" s="179" t="s">
        <v>577</v>
      </c>
      <c r="G248" s="106" t="n">
        <v>80</v>
      </c>
      <c r="H248" s="106" t="n">
        <v>64</v>
      </c>
      <c r="I248" s="191" t="n">
        <f aca="false">IFERROR(H248/G248,0)</f>
        <v>0.8</v>
      </c>
      <c r="J248" s="188" t="n">
        <f aca="false">IF(I248&gt;=0.95,5,IF(I248&gt;=0.8,4,IF(I248&gt;=0.65,3,IF(I248&gt;=0.5,2,1))))</f>
        <v>4</v>
      </c>
      <c r="K248" s="106" t="s">
        <v>578</v>
      </c>
    </row>
    <row r="249" customFormat="false" ht="15" hidden="false" customHeight="false" outlineLevel="0" collapsed="false">
      <c r="A249" s="102" t="s">
        <v>833</v>
      </c>
      <c r="B249" s="102" t="s">
        <v>474</v>
      </c>
      <c r="C249" s="177" t="s">
        <v>475</v>
      </c>
      <c r="D249" s="102" t="s">
        <v>11</v>
      </c>
      <c r="E249" s="177" t="s">
        <v>25</v>
      </c>
      <c r="F249" s="177" t="s">
        <v>580</v>
      </c>
      <c r="G249" s="102" t="n">
        <v>8</v>
      </c>
      <c r="H249" s="102" t="n">
        <v>5.6</v>
      </c>
      <c r="I249" s="190" t="n">
        <f aca="false">IFERROR(H249/G249,0)</f>
        <v>0.7</v>
      </c>
      <c r="J249" s="186" t="n">
        <f aca="false">IF(I249&gt;=0.95,5,IF(I249&gt;=0.8,4,IF(I249&gt;=0.65,3,IF(I249&gt;=0.5,2,1))))</f>
        <v>3</v>
      </c>
      <c r="K249" s="102" t="s">
        <v>578</v>
      </c>
    </row>
    <row r="250" customFormat="false" ht="15" hidden="false" customHeight="false" outlineLevel="0" collapsed="false">
      <c r="A250" s="106" t="s">
        <v>834</v>
      </c>
      <c r="B250" s="106" t="s">
        <v>474</v>
      </c>
      <c r="C250" s="179" t="s">
        <v>475</v>
      </c>
      <c r="D250" s="106" t="s">
        <v>11</v>
      </c>
      <c r="E250" s="179" t="s">
        <v>25</v>
      </c>
      <c r="F250" s="179" t="s">
        <v>592</v>
      </c>
      <c r="G250" s="106" t="n">
        <v>10</v>
      </c>
      <c r="H250" s="106" t="n">
        <v>8</v>
      </c>
      <c r="I250" s="191" t="n">
        <f aca="false">IFERROR(H250/G250,0)</f>
        <v>0.8</v>
      </c>
      <c r="J250" s="188" t="n">
        <f aca="false">IF(I250&gt;=0.95,5,IF(I250&gt;=0.8,4,IF(I250&gt;=0.65,3,IF(I250&gt;=0.5,2,1))))</f>
        <v>4</v>
      </c>
      <c r="K250" s="106" t="s">
        <v>578</v>
      </c>
    </row>
    <row r="251" customFormat="false" ht="15" hidden="false" customHeight="false" outlineLevel="0" collapsed="false">
      <c r="A251" s="102" t="s">
        <v>835</v>
      </c>
      <c r="B251" s="102" t="s">
        <v>474</v>
      </c>
      <c r="C251" s="177" t="s">
        <v>475</v>
      </c>
      <c r="D251" s="102" t="s">
        <v>11</v>
      </c>
      <c r="E251" s="177" t="s">
        <v>25</v>
      </c>
      <c r="F251" s="177" t="s">
        <v>598</v>
      </c>
      <c r="G251" s="102" t="n">
        <v>5</v>
      </c>
      <c r="H251" s="102" t="n">
        <v>3.5</v>
      </c>
      <c r="I251" s="190" t="n">
        <f aca="false">IFERROR(H251/G251,0)</f>
        <v>0.7</v>
      </c>
      <c r="J251" s="186" t="n">
        <f aca="false">IF(I251&gt;=0.95,5,IF(I251&gt;=0.8,4,IF(I251&gt;=0.65,3,IF(I251&gt;=0.5,2,1))))</f>
        <v>3</v>
      </c>
      <c r="K251" s="102" t="s">
        <v>578</v>
      </c>
    </row>
    <row r="252" customFormat="false" ht="15" hidden="false" customHeight="false" outlineLevel="0" collapsed="false">
      <c r="A252" s="106" t="s">
        <v>836</v>
      </c>
      <c r="B252" s="106" t="s">
        <v>474</v>
      </c>
      <c r="C252" s="179" t="s">
        <v>475</v>
      </c>
      <c r="D252" s="106" t="s">
        <v>11</v>
      </c>
      <c r="E252" s="179" t="s">
        <v>25</v>
      </c>
      <c r="F252" s="179" t="s">
        <v>583</v>
      </c>
      <c r="G252" s="106" t="n">
        <v>100</v>
      </c>
      <c r="H252" s="106" t="n">
        <v>100</v>
      </c>
      <c r="I252" s="191" t="n">
        <f aca="false">IFERROR(H252/G252,0)</f>
        <v>1</v>
      </c>
      <c r="J252" s="188" t="n">
        <f aca="false">IF(I252&gt;=0.95,5,IF(I252&gt;=0.8,4,IF(I252&gt;=0.65,3,IF(I252&gt;=0.5,2,1))))</f>
        <v>5</v>
      </c>
      <c r="K252" s="106" t="s">
        <v>601</v>
      </c>
    </row>
    <row r="253" customFormat="false" ht="15" hidden="false" customHeight="false" outlineLevel="0" collapsed="false">
      <c r="A253" s="102" t="s">
        <v>837</v>
      </c>
      <c r="B253" s="102" t="s">
        <v>480</v>
      </c>
      <c r="C253" s="177" t="s">
        <v>481</v>
      </c>
      <c r="D253" s="102" t="s">
        <v>12</v>
      </c>
      <c r="E253" s="177" t="s">
        <v>15</v>
      </c>
      <c r="F253" s="177" t="s">
        <v>586</v>
      </c>
      <c r="G253" s="102" t="n">
        <v>9</v>
      </c>
      <c r="H253" s="102" t="n">
        <v>8.1</v>
      </c>
      <c r="I253" s="190" t="n">
        <f aca="false">IFERROR(H253/G253,0)</f>
        <v>0.9</v>
      </c>
      <c r="J253" s="186" t="n">
        <f aca="false">IF(I253&gt;=0.95,5,IF(I253&gt;=0.8,4,IF(I253&gt;=0.65,3,IF(I253&gt;=0.5,2,1))))</f>
        <v>4</v>
      </c>
      <c r="K253" s="102" t="s">
        <v>578</v>
      </c>
    </row>
    <row r="254" customFormat="false" ht="15" hidden="false" customHeight="false" outlineLevel="0" collapsed="false">
      <c r="A254" s="106" t="s">
        <v>838</v>
      </c>
      <c r="B254" s="106" t="s">
        <v>480</v>
      </c>
      <c r="C254" s="179" t="s">
        <v>481</v>
      </c>
      <c r="D254" s="106" t="s">
        <v>12</v>
      </c>
      <c r="E254" s="179" t="s">
        <v>15</v>
      </c>
      <c r="F254" s="179" t="s">
        <v>580</v>
      </c>
      <c r="G254" s="106" t="n">
        <v>3</v>
      </c>
      <c r="H254" s="106" t="n">
        <v>3</v>
      </c>
      <c r="I254" s="191" t="n">
        <f aca="false">IFERROR(H254/G254,0)</f>
        <v>1</v>
      </c>
      <c r="J254" s="188" t="n">
        <f aca="false">IF(I254&gt;=0.95,5,IF(I254&gt;=0.8,4,IF(I254&gt;=0.65,3,IF(I254&gt;=0.5,2,1))))</f>
        <v>5</v>
      </c>
      <c r="K254" s="106" t="s">
        <v>601</v>
      </c>
    </row>
    <row r="255" customFormat="false" ht="15" hidden="false" customHeight="false" outlineLevel="0" collapsed="false">
      <c r="A255" s="102" t="s">
        <v>839</v>
      </c>
      <c r="B255" s="102" t="s">
        <v>480</v>
      </c>
      <c r="C255" s="177" t="s">
        <v>481</v>
      </c>
      <c r="D255" s="102" t="s">
        <v>12</v>
      </c>
      <c r="E255" s="177" t="s">
        <v>15</v>
      </c>
      <c r="F255" s="177" t="s">
        <v>583</v>
      </c>
      <c r="G255" s="102" t="n">
        <v>80</v>
      </c>
      <c r="H255" s="102" t="n">
        <v>80</v>
      </c>
      <c r="I255" s="190" t="n">
        <f aca="false">IFERROR(H255/G255,0)</f>
        <v>1</v>
      </c>
      <c r="J255" s="186" t="n">
        <f aca="false">IF(I255&gt;=0.95,5,IF(I255&gt;=0.8,4,IF(I255&gt;=0.65,3,IF(I255&gt;=0.5,2,1))))</f>
        <v>5</v>
      </c>
      <c r="K255" s="102" t="s">
        <v>601</v>
      </c>
    </row>
    <row r="256" customFormat="false" ht="15" hidden="false" customHeight="false" outlineLevel="0" collapsed="false">
      <c r="A256" s="106" t="s">
        <v>840</v>
      </c>
      <c r="B256" s="106" t="s">
        <v>480</v>
      </c>
      <c r="C256" s="179" t="s">
        <v>481</v>
      </c>
      <c r="D256" s="106" t="s">
        <v>12</v>
      </c>
      <c r="E256" s="179" t="s">
        <v>15</v>
      </c>
      <c r="F256" s="179" t="s">
        <v>577</v>
      </c>
      <c r="G256" s="106" t="n">
        <v>20</v>
      </c>
      <c r="H256" s="106" t="n">
        <v>16</v>
      </c>
      <c r="I256" s="191" t="n">
        <f aca="false">IFERROR(H256/G256,0)</f>
        <v>0.8</v>
      </c>
      <c r="J256" s="188" t="n">
        <f aca="false">IF(I256&gt;=0.95,5,IF(I256&gt;=0.8,4,IF(I256&gt;=0.65,3,IF(I256&gt;=0.5,2,1))))</f>
        <v>4</v>
      </c>
      <c r="K256" s="106" t="s">
        <v>578</v>
      </c>
    </row>
    <row r="257" customFormat="false" ht="15" hidden="false" customHeight="false" outlineLevel="0" collapsed="false">
      <c r="A257" s="102" t="s">
        <v>841</v>
      </c>
      <c r="B257" s="102" t="s">
        <v>482</v>
      </c>
      <c r="C257" s="177" t="s">
        <v>122</v>
      </c>
      <c r="D257" s="102" t="s">
        <v>12</v>
      </c>
      <c r="E257" s="177" t="s">
        <v>16</v>
      </c>
      <c r="F257" s="177" t="s">
        <v>603</v>
      </c>
      <c r="G257" s="102" t="n">
        <v>10</v>
      </c>
      <c r="H257" s="102" t="n">
        <v>8</v>
      </c>
      <c r="I257" s="190" t="n">
        <f aca="false">IFERROR(H257/G257,0)</f>
        <v>0.8</v>
      </c>
      <c r="J257" s="186" t="n">
        <f aca="false">IF(I257&gt;=0.95,5,IF(I257&gt;=0.8,4,IF(I257&gt;=0.65,3,IF(I257&gt;=0.5,2,1))))</f>
        <v>4</v>
      </c>
      <c r="K257" s="102" t="s">
        <v>578</v>
      </c>
    </row>
    <row r="258" customFormat="false" ht="15" hidden="false" customHeight="false" outlineLevel="0" collapsed="false">
      <c r="A258" s="106" t="s">
        <v>842</v>
      </c>
      <c r="B258" s="106" t="s">
        <v>482</v>
      </c>
      <c r="C258" s="179" t="s">
        <v>122</v>
      </c>
      <c r="D258" s="106" t="s">
        <v>12</v>
      </c>
      <c r="E258" s="179" t="s">
        <v>16</v>
      </c>
      <c r="F258" s="179" t="s">
        <v>583</v>
      </c>
      <c r="G258" s="106" t="n">
        <v>95</v>
      </c>
      <c r="H258" s="106" t="n">
        <v>76</v>
      </c>
      <c r="I258" s="191" t="n">
        <f aca="false">IFERROR(H258/G258,0)</f>
        <v>0.8</v>
      </c>
      <c r="J258" s="188" t="n">
        <f aca="false">IF(I258&gt;=0.95,5,IF(I258&gt;=0.8,4,IF(I258&gt;=0.65,3,IF(I258&gt;=0.5,2,1))))</f>
        <v>4</v>
      </c>
      <c r="K258" s="106" t="s">
        <v>578</v>
      </c>
    </row>
    <row r="259" customFormat="false" ht="15" hidden="false" customHeight="false" outlineLevel="0" collapsed="false">
      <c r="A259" s="102" t="s">
        <v>843</v>
      </c>
      <c r="B259" s="102" t="s">
        <v>482</v>
      </c>
      <c r="C259" s="177" t="s">
        <v>122</v>
      </c>
      <c r="D259" s="102" t="s">
        <v>12</v>
      </c>
      <c r="E259" s="177" t="s">
        <v>16</v>
      </c>
      <c r="F259" s="177" t="s">
        <v>595</v>
      </c>
      <c r="G259" s="102" t="n">
        <v>5</v>
      </c>
      <c r="H259" s="102" t="n">
        <v>5</v>
      </c>
      <c r="I259" s="190" t="n">
        <f aca="false">IFERROR(H259/G259,0)</f>
        <v>1</v>
      </c>
      <c r="J259" s="186" t="n">
        <f aca="false">IF(I259&gt;=0.95,5,IF(I259&gt;=0.8,4,IF(I259&gt;=0.65,3,IF(I259&gt;=0.5,2,1))))</f>
        <v>5</v>
      </c>
      <c r="K259" s="102" t="s">
        <v>601</v>
      </c>
    </row>
    <row r="260" customFormat="false" ht="15" hidden="false" customHeight="false" outlineLevel="0" collapsed="false">
      <c r="A260" s="106" t="s">
        <v>844</v>
      </c>
      <c r="B260" s="106" t="s">
        <v>483</v>
      </c>
      <c r="C260" s="179" t="s">
        <v>484</v>
      </c>
      <c r="D260" s="106" t="s">
        <v>12</v>
      </c>
      <c r="E260" s="179" t="s">
        <v>20</v>
      </c>
      <c r="F260" s="179" t="s">
        <v>592</v>
      </c>
      <c r="G260" s="106" t="n">
        <v>4</v>
      </c>
      <c r="H260" s="106" t="n">
        <v>4</v>
      </c>
      <c r="I260" s="191" t="n">
        <f aca="false">IFERROR(H260/G260,0)</f>
        <v>1</v>
      </c>
      <c r="J260" s="188" t="n">
        <f aca="false">IF(I260&gt;=0.95,5,IF(I260&gt;=0.8,4,IF(I260&gt;=0.65,3,IF(I260&gt;=0.5,2,1))))</f>
        <v>5</v>
      </c>
      <c r="K260" s="106" t="s">
        <v>601</v>
      </c>
    </row>
    <row r="261" customFormat="false" ht="15" hidden="false" customHeight="false" outlineLevel="0" collapsed="false">
      <c r="A261" s="102" t="s">
        <v>845</v>
      </c>
      <c r="B261" s="102" t="s">
        <v>483</v>
      </c>
      <c r="C261" s="177" t="s">
        <v>484</v>
      </c>
      <c r="D261" s="102" t="s">
        <v>12</v>
      </c>
      <c r="E261" s="177" t="s">
        <v>20</v>
      </c>
      <c r="F261" s="177" t="s">
        <v>580</v>
      </c>
      <c r="G261" s="102" t="n">
        <v>10</v>
      </c>
      <c r="H261" s="102" t="n">
        <v>8</v>
      </c>
      <c r="I261" s="190" t="n">
        <f aca="false">IFERROR(H261/G261,0)</f>
        <v>0.8</v>
      </c>
      <c r="J261" s="186" t="n">
        <f aca="false">IF(I261&gt;=0.95,5,IF(I261&gt;=0.8,4,IF(I261&gt;=0.65,3,IF(I261&gt;=0.5,2,1))))</f>
        <v>4</v>
      </c>
      <c r="K261" s="102" t="s">
        <v>578</v>
      </c>
    </row>
    <row r="262" customFormat="false" ht="15" hidden="false" customHeight="false" outlineLevel="0" collapsed="false">
      <c r="A262" s="106" t="s">
        <v>846</v>
      </c>
      <c r="B262" s="106" t="s">
        <v>483</v>
      </c>
      <c r="C262" s="179" t="s">
        <v>484</v>
      </c>
      <c r="D262" s="106" t="s">
        <v>12</v>
      </c>
      <c r="E262" s="179" t="s">
        <v>20</v>
      </c>
      <c r="F262" s="179" t="s">
        <v>588</v>
      </c>
      <c r="G262" s="106" t="n">
        <v>95</v>
      </c>
      <c r="H262" s="106" t="n">
        <v>66.5</v>
      </c>
      <c r="I262" s="191" t="n">
        <f aca="false">IFERROR(H262/G262,0)</f>
        <v>0.7</v>
      </c>
      <c r="J262" s="188" t="n">
        <f aca="false">IF(I262&gt;=0.95,5,IF(I262&gt;=0.8,4,IF(I262&gt;=0.65,3,IF(I262&gt;=0.5,2,1))))</f>
        <v>3</v>
      </c>
      <c r="K262" s="106" t="s">
        <v>578</v>
      </c>
    </row>
    <row r="263" customFormat="false" ht="15" hidden="false" customHeight="false" outlineLevel="0" collapsed="false">
      <c r="A263" s="102" t="s">
        <v>847</v>
      </c>
      <c r="B263" s="102" t="s">
        <v>485</v>
      </c>
      <c r="C263" s="177" t="s">
        <v>486</v>
      </c>
      <c r="D263" s="102" t="s">
        <v>12</v>
      </c>
      <c r="E263" s="177" t="s">
        <v>21</v>
      </c>
      <c r="F263" s="177" t="s">
        <v>603</v>
      </c>
      <c r="G263" s="102" t="n">
        <v>10</v>
      </c>
      <c r="H263" s="102" t="n">
        <v>5</v>
      </c>
      <c r="I263" s="190" t="n">
        <f aca="false">IFERROR(H263/G263,0)</f>
        <v>0.5</v>
      </c>
      <c r="J263" s="186" t="n">
        <f aca="false">IF(I263&gt;=0.95,5,IF(I263&gt;=0.8,4,IF(I263&gt;=0.65,3,IF(I263&gt;=0.5,2,1))))</f>
        <v>2</v>
      </c>
      <c r="K263" s="102" t="s">
        <v>581</v>
      </c>
    </row>
    <row r="264" customFormat="false" ht="15" hidden="false" customHeight="false" outlineLevel="0" collapsed="false">
      <c r="A264" s="106" t="s">
        <v>848</v>
      </c>
      <c r="B264" s="106" t="s">
        <v>485</v>
      </c>
      <c r="C264" s="179" t="s">
        <v>486</v>
      </c>
      <c r="D264" s="106" t="s">
        <v>12</v>
      </c>
      <c r="E264" s="179" t="s">
        <v>21</v>
      </c>
      <c r="F264" s="179" t="s">
        <v>580</v>
      </c>
      <c r="G264" s="106" t="n">
        <v>6</v>
      </c>
      <c r="H264" s="106" t="n">
        <v>6</v>
      </c>
      <c r="I264" s="191" t="n">
        <f aca="false">IFERROR(H264/G264,0)</f>
        <v>1</v>
      </c>
      <c r="J264" s="188" t="n">
        <f aca="false">IF(I264&gt;=0.95,5,IF(I264&gt;=0.8,4,IF(I264&gt;=0.65,3,IF(I264&gt;=0.5,2,1))))</f>
        <v>5</v>
      </c>
      <c r="K264" s="106" t="s">
        <v>601</v>
      </c>
    </row>
    <row r="265" customFormat="false" ht="15" hidden="false" customHeight="false" outlineLevel="0" collapsed="false">
      <c r="A265" s="102" t="s">
        <v>849</v>
      </c>
      <c r="B265" s="102" t="s">
        <v>488</v>
      </c>
      <c r="C265" s="177" t="s">
        <v>489</v>
      </c>
      <c r="D265" s="102" t="s">
        <v>12</v>
      </c>
      <c r="E265" s="177" t="s">
        <v>22</v>
      </c>
      <c r="F265" s="177" t="s">
        <v>595</v>
      </c>
      <c r="G265" s="102" t="n">
        <v>20</v>
      </c>
      <c r="H265" s="102" t="n">
        <v>14</v>
      </c>
      <c r="I265" s="190" t="n">
        <f aca="false">IFERROR(H265/G265,0)</f>
        <v>0.7</v>
      </c>
      <c r="J265" s="186" t="n">
        <f aca="false">IF(I265&gt;=0.95,5,IF(I265&gt;=0.8,4,IF(I265&gt;=0.65,3,IF(I265&gt;=0.5,2,1))))</f>
        <v>3</v>
      </c>
      <c r="K265" s="102" t="s">
        <v>578</v>
      </c>
    </row>
    <row r="266" customFormat="false" ht="15" hidden="false" customHeight="false" outlineLevel="0" collapsed="false">
      <c r="A266" s="106" t="s">
        <v>850</v>
      </c>
      <c r="B266" s="106" t="s">
        <v>488</v>
      </c>
      <c r="C266" s="179" t="s">
        <v>489</v>
      </c>
      <c r="D266" s="106" t="s">
        <v>12</v>
      </c>
      <c r="E266" s="179" t="s">
        <v>22</v>
      </c>
      <c r="F266" s="179" t="s">
        <v>577</v>
      </c>
      <c r="G266" s="106" t="n">
        <v>10</v>
      </c>
      <c r="H266" s="106" t="n">
        <v>9</v>
      </c>
      <c r="I266" s="191" t="n">
        <f aca="false">IFERROR(H266/G266,0)</f>
        <v>0.9</v>
      </c>
      <c r="J266" s="188" t="n">
        <f aca="false">IF(I266&gt;=0.95,5,IF(I266&gt;=0.8,4,IF(I266&gt;=0.65,3,IF(I266&gt;=0.5,2,1))))</f>
        <v>4</v>
      </c>
      <c r="K266" s="106" t="s">
        <v>578</v>
      </c>
    </row>
    <row r="267" customFormat="false" ht="15" hidden="false" customHeight="false" outlineLevel="0" collapsed="false">
      <c r="A267" s="102" t="s">
        <v>851</v>
      </c>
      <c r="B267" s="102" t="s">
        <v>488</v>
      </c>
      <c r="C267" s="177" t="s">
        <v>489</v>
      </c>
      <c r="D267" s="102" t="s">
        <v>12</v>
      </c>
      <c r="E267" s="177" t="s">
        <v>22</v>
      </c>
      <c r="F267" s="177" t="s">
        <v>598</v>
      </c>
      <c r="G267" s="102" t="n">
        <v>7</v>
      </c>
      <c r="H267" s="102" t="n">
        <v>4.2</v>
      </c>
      <c r="I267" s="190" t="n">
        <f aca="false">IFERROR(H267/G267,0)</f>
        <v>0.6</v>
      </c>
      <c r="J267" s="186" t="n">
        <f aca="false">IF(I267&gt;=0.95,5,IF(I267&gt;=0.8,4,IF(I267&gt;=0.65,3,IF(I267&gt;=0.5,2,1))))</f>
        <v>2</v>
      </c>
      <c r="K267" s="102" t="s">
        <v>581</v>
      </c>
    </row>
    <row r="268" customFormat="false" ht="15" hidden="false" customHeight="false" outlineLevel="0" collapsed="false">
      <c r="A268" s="106" t="s">
        <v>852</v>
      </c>
      <c r="B268" s="106" t="s">
        <v>490</v>
      </c>
      <c r="C268" s="179" t="s">
        <v>491</v>
      </c>
      <c r="D268" s="106" t="s">
        <v>12</v>
      </c>
      <c r="E268" s="179" t="s">
        <v>23</v>
      </c>
      <c r="F268" s="179" t="s">
        <v>595</v>
      </c>
      <c r="G268" s="106" t="n">
        <v>90</v>
      </c>
      <c r="H268" s="106" t="n">
        <v>63</v>
      </c>
      <c r="I268" s="191" t="n">
        <f aca="false">IFERROR(H268/G268,0)</f>
        <v>0.7</v>
      </c>
      <c r="J268" s="188" t="n">
        <f aca="false">IF(I268&gt;=0.95,5,IF(I268&gt;=0.8,4,IF(I268&gt;=0.65,3,IF(I268&gt;=0.5,2,1))))</f>
        <v>3</v>
      </c>
      <c r="K268" s="106" t="s">
        <v>578</v>
      </c>
    </row>
    <row r="269" customFormat="false" ht="15" hidden="false" customHeight="false" outlineLevel="0" collapsed="false">
      <c r="A269" s="102" t="s">
        <v>853</v>
      </c>
      <c r="B269" s="102" t="s">
        <v>490</v>
      </c>
      <c r="C269" s="177" t="s">
        <v>491</v>
      </c>
      <c r="D269" s="102" t="s">
        <v>12</v>
      </c>
      <c r="E269" s="177" t="s">
        <v>23</v>
      </c>
      <c r="F269" s="177" t="s">
        <v>592</v>
      </c>
      <c r="G269" s="102" t="n">
        <v>10</v>
      </c>
      <c r="H269" s="102" t="n">
        <v>10</v>
      </c>
      <c r="I269" s="190" t="n">
        <f aca="false">IFERROR(H269/G269,0)</f>
        <v>1</v>
      </c>
      <c r="J269" s="186" t="n">
        <f aca="false">IF(I269&gt;=0.95,5,IF(I269&gt;=0.8,4,IF(I269&gt;=0.65,3,IF(I269&gt;=0.5,2,1))))</f>
        <v>5</v>
      </c>
      <c r="K269" s="102" t="s">
        <v>601</v>
      </c>
    </row>
    <row r="270" customFormat="false" ht="15" hidden="false" customHeight="false" outlineLevel="0" collapsed="false">
      <c r="A270" s="106" t="s">
        <v>854</v>
      </c>
      <c r="B270" s="106" t="s">
        <v>490</v>
      </c>
      <c r="C270" s="179" t="s">
        <v>491</v>
      </c>
      <c r="D270" s="106" t="s">
        <v>12</v>
      </c>
      <c r="E270" s="179" t="s">
        <v>23</v>
      </c>
      <c r="F270" s="179" t="s">
        <v>588</v>
      </c>
      <c r="G270" s="106" t="n">
        <v>100</v>
      </c>
      <c r="H270" s="106" t="n">
        <v>60</v>
      </c>
      <c r="I270" s="191" t="n">
        <f aca="false">IFERROR(H270/G270,0)</f>
        <v>0.6</v>
      </c>
      <c r="J270" s="188" t="n">
        <f aca="false">IF(I270&gt;=0.95,5,IF(I270&gt;=0.8,4,IF(I270&gt;=0.65,3,IF(I270&gt;=0.5,2,1))))</f>
        <v>2</v>
      </c>
      <c r="K270" s="106" t="s">
        <v>581</v>
      </c>
    </row>
    <row r="271" customFormat="false" ht="15" hidden="false" customHeight="false" outlineLevel="0" collapsed="false">
      <c r="A271" s="102" t="s">
        <v>855</v>
      </c>
      <c r="B271" s="102" t="s">
        <v>490</v>
      </c>
      <c r="C271" s="177" t="s">
        <v>491</v>
      </c>
      <c r="D271" s="102" t="s">
        <v>12</v>
      </c>
      <c r="E271" s="177" t="s">
        <v>23</v>
      </c>
      <c r="F271" s="177" t="s">
        <v>583</v>
      </c>
      <c r="G271" s="102" t="n">
        <v>5</v>
      </c>
      <c r="H271" s="102" t="n">
        <v>3</v>
      </c>
      <c r="I271" s="190" t="n">
        <f aca="false">IFERROR(H271/G271,0)</f>
        <v>0.6</v>
      </c>
      <c r="J271" s="186" t="n">
        <f aca="false">IF(I271&gt;=0.95,5,IF(I271&gt;=0.8,4,IF(I271&gt;=0.65,3,IF(I271&gt;=0.5,2,1))))</f>
        <v>2</v>
      </c>
      <c r="K271" s="102" t="s">
        <v>581</v>
      </c>
    </row>
    <row r="272" customFormat="false" ht="15" hidden="false" customHeight="false" outlineLevel="0" collapsed="false">
      <c r="A272" s="106" t="s">
        <v>856</v>
      </c>
      <c r="B272" s="106" t="s">
        <v>492</v>
      </c>
      <c r="C272" s="179" t="s">
        <v>493</v>
      </c>
      <c r="D272" s="106" t="s">
        <v>12</v>
      </c>
      <c r="E272" s="179" t="s">
        <v>15</v>
      </c>
      <c r="F272" s="179" t="s">
        <v>586</v>
      </c>
      <c r="G272" s="106" t="n">
        <v>9</v>
      </c>
      <c r="H272" s="106" t="n">
        <v>5.4</v>
      </c>
      <c r="I272" s="191" t="n">
        <f aca="false">IFERROR(H272/G272,0)</f>
        <v>0.6</v>
      </c>
      <c r="J272" s="188" t="n">
        <f aca="false">IF(I272&gt;=0.95,5,IF(I272&gt;=0.8,4,IF(I272&gt;=0.65,3,IF(I272&gt;=0.5,2,1))))</f>
        <v>2</v>
      </c>
      <c r="K272" s="106" t="s">
        <v>581</v>
      </c>
    </row>
    <row r="273" customFormat="false" ht="15" hidden="false" customHeight="false" outlineLevel="0" collapsed="false">
      <c r="A273" s="102" t="s">
        <v>857</v>
      </c>
      <c r="B273" s="102" t="s">
        <v>492</v>
      </c>
      <c r="C273" s="177" t="s">
        <v>493</v>
      </c>
      <c r="D273" s="102" t="s">
        <v>12</v>
      </c>
      <c r="E273" s="177" t="s">
        <v>15</v>
      </c>
      <c r="F273" s="177" t="s">
        <v>577</v>
      </c>
      <c r="G273" s="102" t="n">
        <v>90</v>
      </c>
      <c r="H273" s="102" t="n">
        <v>36</v>
      </c>
      <c r="I273" s="190" t="n">
        <f aca="false">IFERROR(H273/G273,0)</f>
        <v>0.4</v>
      </c>
      <c r="J273" s="186" t="n">
        <f aca="false">IF(I273&gt;=0.95,5,IF(I273&gt;=0.8,4,IF(I273&gt;=0.65,3,IF(I273&gt;=0.5,2,1))))</f>
        <v>1</v>
      </c>
      <c r="K273" s="102" t="s">
        <v>581</v>
      </c>
    </row>
    <row r="274" customFormat="false" ht="15" hidden="false" customHeight="false" outlineLevel="0" collapsed="false">
      <c r="A274" s="106" t="s">
        <v>858</v>
      </c>
      <c r="B274" s="106" t="s">
        <v>492</v>
      </c>
      <c r="C274" s="179" t="s">
        <v>493</v>
      </c>
      <c r="D274" s="106" t="s">
        <v>12</v>
      </c>
      <c r="E274" s="179" t="s">
        <v>15</v>
      </c>
      <c r="F274" s="179" t="s">
        <v>603</v>
      </c>
      <c r="G274" s="106" t="n">
        <v>100</v>
      </c>
      <c r="H274" s="106" t="n">
        <v>80</v>
      </c>
      <c r="I274" s="191" t="n">
        <f aca="false">IFERROR(H274/G274,0)</f>
        <v>0.8</v>
      </c>
      <c r="J274" s="188" t="n">
        <f aca="false">IF(I274&gt;=0.95,5,IF(I274&gt;=0.8,4,IF(I274&gt;=0.65,3,IF(I274&gt;=0.5,2,1))))</f>
        <v>4</v>
      </c>
      <c r="K274" s="106" t="s">
        <v>578</v>
      </c>
    </row>
    <row r="275" customFormat="false" ht="15" hidden="false" customHeight="false" outlineLevel="0" collapsed="false">
      <c r="A275" s="102" t="s">
        <v>859</v>
      </c>
      <c r="B275" s="102" t="s">
        <v>494</v>
      </c>
      <c r="C275" s="177" t="s">
        <v>495</v>
      </c>
      <c r="D275" s="102" t="s">
        <v>12</v>
      </c>
      <c r="E275" s="177" t="s">
        <v>16</v>
      </c>
      <c r="F275" s="177" t="s">
        <v>590</v>
      </c>
      <c r="G275" s="102" t="n">
        <v>5</v>
      </c>
      <c r="H275" s="102" t="n">
        <v>4</v>
      </c>
      <c r="I275" s="190" t="n">
        <f aca="false">IFERROR(H275/G275,0)</f>
        <v>0.8</v>
      </c>
      <c r="J275" s="186" t="n">
        <f aca="false">IF(I275&gt;=0.95,5,IF(I275&gt;=0.8,4,IF(I275&gt;=0.65,3,IF(I275&gt;=0.5,2,1))))</f>
        <v>4</v>
      </c>
      <c r="K275" s="102" t="s">
        <v>578</v>
      </c>
    </row>
    <row r="276" customFormat="false" ht="15" hidden="false" customHeight="false" outlineLevel="0" collapsed="false">
      <c r="A276" s="106" t="s">
        <v>860</v>
      </c>
      <c r="B276" s="106" t="s">
        <v>494</v>
      </c>
      <c r="C276" s="179" t="s">
        <v>495</v>
      </c>
      <c r="D276" s="106" t="s">
        <v>12</v>
      </c>
      <c r="E276" s="179" t="s">
        <v>16</v>
      </c>
      <c r="F276" s="179" t="s">
        <v>595</v>
      </c>
      <c r="G276" s="106" t="n">
        <v>20</v>
      </c>
      <c r="H276" s="106" t="n">
        <v>20</v>
      </c>
      <c r="I276" s="191" t="n">
        <f aca="false">IFERROR(H276/G276,0)</f>
        <v>1</v>
      </c>
      <c r="J276" s="188" t="n">
        <f aca="false">IF(I276&gt;=0.95,5,IF(I276&gt;=0.8,4,IF(I276&gt;=0.65,3,IF(I276&gt;=0.5,2,1))))</f>
        <v>5</v>
      </c>
      <c r="K276" s="106" t="s">
        <v>601</v>
      </c>
    </row>
    <row r="277" customFormat="false" ht="15" hidden="false" customHeight="false" outlineLevel="0" collapsed="false">
      <c r="A277" s="102" t="s">
        <v>861</v>
      </c>
      <c r="B277" s="102" t="s">
        <v>496</v>
      </c>
      <c r="C277" s="177" t="s">
        <v>114</v>
      </c>
      <c r="D277" s="102" t="s">
        <v>12</v>
      </c>
      <c r="E277" s="177" t="s">
        <v>16</v>
      </c>
      <c r="F277" s="177" t="s">
        <v>595</v>
      </c>
      <c r="G277" s="102" t="n">
        <v>10</v>
      </c>
      <c r="H277" s="102" t="n">
        <v>9</v>
      </c>
      <c r="I277" s="190" t="n">
        <f aca="false">IFERROR(H277/G277,0)</f>
        <v>0.9</v>
      </c>
      <c r="J277" s="186" t="n">
        <f aca="false">IF(I277&gt;=0.95,5,IF(I277&gt;=0.8,4,IF(I277&gt;=0.65,3,IF(I277&gt;=0.5,2,1))))</f>
        <v>4</v>
      </c>
      <c r="K277" s="102" t="s">
        <v>578</v>
      </c>
    </row>
    <row r="278" customFormat="false" ht="15" hidden="false" customHeight="false" outlineLevel="0" collapsed="false">
      <c r="A278" s="106" t="s">
        <v>862</v>
      </c>
      <c r="B278" s="106" t="s">
        <v>496</v>
      </c>
      <c r="C278" s="179" t="s">
        <v>114</v>
      </c>
      <c r="D278" s="106" t="s">
        <v>12</v>
      </c>
      <c r="E278" s="179" t="s">
        <v>16</v>
      </c>
      <c r="F278" s="179" t="s">
        <v>603</v>
      </c>
      <c r="G278" s="106" t="n">
        <v>20</v>
      </c>
      <c r="H278" s="106" t="n">
        <v>20</v>
      </c>
      <c r="I278" s="191" t="n">
        <f aca="false">IFERROR(H278/G278,0)</f>
        <v>1</v>
      </c>
      <c r="J278" s="188" t="n">
        <f aca="false">IF(I278&gt;=0.95,5,IF(I278&gt;=0.8,4,IF(I278&gt;=0.65,3,IF(I278&gt;=0.5,2,1))))</f>
        <v>5</v>
      </c>
      <c r="K278" s="106" t="s">
        <v>601</v>
      </c>
    </row>
    <row r="279" customFormat="false" ht="15" hidden="false" customHeight="false" outlineLevel="0" collapsed="false">
      <c r="A279" s="102" t="s">
        <v>863</v>
      </c>
      <c r="B279" s="102" t="s">
        <v>496</v>
      </c>
      <c r="C279" s="177" t="s">
        <v>114</v>
      </c>
      <c r="D279" s="102" t="s">
        <v>12</v>
      </c>
      <c r="E279" s="177" t="s">
        <v>16</v>
      </c>
      <c r="F279" s="177" t="s">
        <v>592</v>
      </c>
      <c r="G279" s="102" t="n">
        <v>7</v>
      </c>
      <c r="H279" s="102" t="n">
        <v>7</v>
      </c>
      <c r="I279" s="190" t="n">
        <f aca="false">IFERROR(H279/G279,0)</f>
        <v>1</v>
      </c>
      <c r="J279" s="186" t="n">
        <f aca="false">IF(I279&gt;=0.95,5,IF(I279&gt;=0.8,4,IF(I279&gt;=0.65,3,IF(I279&gt;=0.5,2,1))))</f>
        <v>5</v>
      </c>
      <c r="K279" s="102" t="s">
        <v>601</v>
      </c>
    </row>
    <row r="280" customFormat="false" ht="15" hidden="false" customHeight="false" outlineLevel="0" collapsed="false">
      <c r="A280" s="106" t="s">
        <v>864</v>
      </c>
      <c r="B280" s="106" t="s">
        <v>497</v>
      </c>
      <c r="C280" s="179" t="s">
        <v>498</v>
      </c>
      <c r="D280" s="106" t="s">
        <v>12</v>
      </c>
      <c r="E280" s="179" t="s">
        <v>20</v>
      </c>
      <c r="F280" s="179" t="s">
        <v>590</v>
      </c>
      <c r="G280" s="106" t="n">
        <v>5</v>
      </c>
      <c r="H280" s="106" t="n">
        <v>4.5</v>
      </c>
      <c r="I280" s="191" t="n">
        <f aca="false">IFERROR(H280/G280,0)</f>
        <v>0.9</v>
      </c>
      <c r="J280" s="188" t="n">
        <f aca="false">IF(I280&gt;=0.95,5,IF(I280&gt;=0.8,4,IF(I280&gt;=0.65,3,IF(I280&gt;=0.5,2,1))))</f>
        <v>4</v>
      </c>
      <c r="K280" s="106" t="s">
        <v>578</v>
      </c>
    </row>
    <row r="281" customFormat="false" ht="15" hidden="false" customHeight="false" outlineLevel="0" collapsed="false">
      <c r="A281" s="102" t="s">
        <v>865</v>
      </c>
      <c r="B281" s="102" t="s">
        <v>497</v>
      </c>
      <c r="C281" s="177" t="s">
        <v>498</v>
      </c>
      <c r="D281" s="102" t="s">
        <v>12</v>
      </c>
      <c r="E281" s="177" t="s">
        <v>20</v>
      </c>
      <c r="F281" s="177" t="s">
        <v>598</v>
      </c>
      <c r="G281" s="102" t="n">
        <v>3</v>
      </c>
      <c r="H281" s="102" t="n">
        <v>1.8</v>
      </c>
      <c r="I281" s="190" t="n">
        <f aca="false">IFERROR(H281/G281,0)</f>
        <v>0.6</v>
      </c>
      <c r="J281" s="186" t="n">
        <f aca="false">IF(I281&gt;=0.95,5,IF(I281&gt;=0.8,4,IF(I281&gt;=0.65,3,IF(I281&gt;=0.5,2,1))))</f>
        <v>2</v>
      </c>
      <c r="K281" s="102" t="s">
        <v>581</v>
      </c>
    </row>
    <row r="282" customFormat="false" ht="15" hidden="false" customHeight="false" outlineLevel="0" collapsed="false">
      <c r="A282" s="106" t="s">
        <v>866</v>
      </c>
      <c r="B282" s="106" t="s">
        <v>497</v>
      </c>
      <c r="C282" s="179" t="s">
        <v>498</v>
      </c>
      <c r="D282" s="106" t="s">
        <v>12</v>
      </c>
      <c r="E282" s="179" t="s">
        <v>20</v>
      </c>
      <c r="F282" s="179" t="s">
        <v>595</v>
      </c>
      <c r="G282" s="106" t="n">
        <v>80</v>
      </c>
      <c r="H282" s="106" t="n">
        <v>80</v>
      </c>
      <c r="I282" s="191" t="n">
        <f aca="false">IFERROR(H282/G282,0)</f>
        <v>1</v>
      </c>
      <c r="J282" s="188" t="n">
        <f aca="false">IF(I282&gt;=0.95,5,IF(I282&gt;=0.8,4,IF(I282&gt;=0.65,3,IF(I282&gt;=0.5,2,1))))</f>
        <v>5</v>
      </c>
      <c r="K282" s="106" t="s">
        <v>601</v>
      </c>
    </row>
    <row r="283" customFormat="false" ht="15" hidden="false" customHeight="false" outlineLevel="0" collapsed="false">
      <c r="A283" s="102" t="s">
        <v>867</v>
      </c>
      <c r="B283" s="102" t="s">
        <v>497</v>
      </c>
      <c r="C283" s="177" t="s">
        <v>498</v>
      </c>
      <c r="D283" s="102" t="s">
        <v>12</v>
      </c>
      <c r="E283" s="177" t="s">
        <v>20</v>
      </c>
      <c r="F283" s="177" t="s">
        <v>580</v>
      </c>
      <c r="G283" s="102" t="n">
        <v>6</v>
      </c>
      <c r="H283" s="102" t="n">
        <v>4.2</v>
      </c>
      <c r="I283" s="190" t="n">
        <f aca="false">IFERROR(H283/G283,0)</f>
        <v>0.7</v>
      </c>
      <c r="J283" s="186" t="n">
        <f aca="false">IF(I283&gt;=0.95,5,IF(I283&gt;=0.8,4,IF(I283&gt;=0.65,3,IF(I283&gt;=0.5,2,1))))</f>
        <v>3</v>
      </c>
      <c r="K283" s="102" t="s">
        <v>578</v>
      </c>
    </row>
    <row r="284" customFormat="false" ht="15" hidden="false" customHeight="false" outlineLevel="0" collapsed="false">
      <c r="A284" s="106" t="s">
        <v>868</v>
      </c>
      <c r="B284" s="106" t="s">
        <v>499</v>
      </c>
      <c r="C284" s="179" t="s">
        <v>500</v>
      </c>
      <c r="D284" s="106" t="s">
        <v>12</v>
      </c>
      <c r="E284" s="179" t="s">
        <v>20</v>
      </c>
      <c r="F284" s="179" t="s">
        <v>583</v>
      </c>
      <c r="G284" s="106" t="n">
        <v>95</v>
      </c>
      <c r="H284" s="106" t="n">
        <v>76</v>
      </c>
      <c r="I284" s="191" t="n">
        <f aca="false">IFERROR(H284/G284,0)</f>
        <v>0.8</v>
      </c>
      <c r="J284" s="188" t="n">
        <f aca="false">IF(I284&gt;=0.95,5,IF(I284&gt;=0.8,4,IF(I284&gt;=0.65,3,IF(I284&gt;=0.5,2,1))))</f>
        <v>4</v>
      </c>
      <c r="K284" s="106" t="s">
        <v>578</v>
      </c>
    </row>
    <row r="285" customFormat="false" ht="15" hidden="false" customHeight="false" outlineLevel="0" collapsed="false">
      <c r="A285" s="102" t="s">
        <v>869</v>
      </c>
      <c r="B285" s="102" t="s">
        <v>499</v>
      </c>
      <c r="C285" s="177" t="s">
        <v>500</v>
      </c>
      <c r="D285" s="102" t="s">
        <v>12</v>
      </c>
      <c r="E285" s="177" t="s">
        <v>20</v>
      </c>
      <c r="F285" s="177" t="s">
        <v>577</v>
      </c>
      <c r="G285" s="102" t="n">
        <v>95</v>
      </c>
      <c r="H285" s="102" t="n">
        <v>76</v>
      </c>
      <c r="I285" s="190" t="n">
        <f aca="false">IFERROR(H285/G285,0)</f>
        <v>0.8</v>
      </c>
      <c r="J285" s="186" t="n">
        <f aca="false">IF(I285&gt;=0.95,5,IF(I285&gt;=0.8,4,IF(I285&gt;=0.65,3,IF(I285&gt;=0.5,2,1))))</f>
        <v>4</v>
      </c>
      <c r="K285" s="102" t="s">
        <v>578</v>
      </c>
    </row>
    <row r="286" customFormat="false" ht="15" hidden="false" customHeight="false" outlineLevel="0" collapsed="false">
      <c r="A286" s="106" t="s">
        <v>870</v>
      </c>
      <c r="B286" s="106" t="s">
        <v>499</v>
      </c>
      <c r="C286" s="179" t="s">
        <v>500</v>
      </c>
      <c r="D286" s="106" t="s">
        <v>12</v>
      </c>
      <c r="E286" s="179" t="s">
        <v>20</v>
      </c>
      <c r="F286" s="179" t="s">
        <v>580</v>
      </c>
      <c r="G286" s="106" t="n">
        <v>5</v>
      </c>
      <c r="H286" s="106" t="n">
        <v>4</v>
      </c>
      <c r="I286" s="191" t="n">
        <f aca="false">IFERROR(H286/G286,0)</f>
        <v>0.8</v>
      </c>
      <c r="J286" s="188" t="n">
        <f aca="false">IF(I286&gt;=0.95,5,IF(I286&gt;=0.8,4,IF(I286&gt;=0.65,3,IF(I286&gt;=0.5,2,1))))</f>
        <v>4</v>
      </c>
      <c r="K286" s="106" t="s">
        <v>578</v>
      </c>
    </row>
    <row r="287" customFormat="false" ht="15" hidden="false" customHeight="false" outlineLevel="0" collapsed="false">
      <c r="A287" s="102" t="s">
        <v>871</v>
      </c>
      <c r="B287" s="102" t="s">
        <v>499</v>
      </c>
      <c r="C287" s="177" t="s">
        <v>500</v>
      </c>
      <c r="D287" s="102" t="s">
        <v>12</v>
      </c>
      <c r="E287" s="177" t="s">
        <v>20</v>
      </c>
      <c r="F287" s="177" t="s">
        <v>592</v>
      </c>
      <c r="G287" s="102" t="n">
        <v>10</v>
      </c>
      <c r="H287" s="102" t="n">
        <v>9</v>
      </c>
      <c r="I287" s="190" t="n">
        <f aca="false">IFERROR(H287/G287,0)</f>
        <v>0.9</v>
      </c>
      <c r="J287" s="186" t="n">
        <f aca="false">IF(I287&gt;=0.95,5,IF(I287&gt;=0.8,4,IF(I287&gt;=0.65,3,IF(I287&gt;=0.5,2,1))))</f>
        <v>4</v>
      </c>
      <c r="K287" s="102" t="s">
        <v>578</v>
      </c>
    </row>
    <row r="288" customFormat="false" ht="15" hidden="false" customHeight="false" outlineLevel="0" collapsed="false">
      <c r="A288" s="106" t="s">
        <v>872</v>
      </c>
      <c r="B288" s="106" t="s">
        <v>501</v>
      </c>
      <c r="C288" s="179" t="s">
        <v>502</v>
      </c>
      <c r="D288" s="106" t="s">
        <v>12</v>
      </c>
      <c r="E288" s="179" t="s">
        <v>21</v>
      </c>
      <c r="F288" s="179" t="s">
        <v>592</v>
      </c>
      <c r="G288" s="106" t="n">
        <v>5</v>
      </c>
      <c r="H288" s="106" t="n">
        <v>3.5</v>
      </c>
      <c r="I288" s="191" t="n">
        <f aca="false">IFERROR(H288/G288,0)</f>
        <v>0.7</v>
      </c>
      <c r="J288" s="188" t="n">
        <f aca="false">IF(I288&gt;=0.95,5,IF(I288&gt;=0.8,4,IF(I288&gt;=0.65,3,IF(I288&gt;=0.5,2,1))))</f>
        <v>3</v>
      </c>
      <c r="K288" s="106" t="s">
        <v>578</v>
      </c>
    </row>
    <row r="289" customFormat="false" ht="15" hidden="false" customHeight="false" outlineLevel="0" collapsed="false">
      <c r="A289" s="102" t="s">
        <v>873</v>
      </c>
      <c r="B289" s="102" t="s">
        <v>501</v>
      </c>
      <c r="C289" s="177" t="s">
        <v>502</v>
      </c>
      <c r="D289" s="102" t="s">
        <v>12</v>
      </c>
      <c r="E289" s="177" t="s">
        <v>21</v>
      </c>
      <c r="F289" s="177" t="s">
        <v>603</v>
      </c>
      <c r="G289" s="102" t="n">
        <v>95</v>
      </c>
      <c r="H289" s="102" t="n">
        <v>85.5</v>
      </c>
      <c r="I289" s="190" t="n">
        <f aca="false">IFERROR(H289/G289,0)</f>
        <v>0.9</v>
      </c>
      <c r="J289" s="186" t="n">
        <f aca="false">IF(I289&gt;=0.95,5,IF(I289&gt;=0.8,4,IF(I289&gt;=0.65,3,IF(I289&gt;=0.5,2,1))))</f>
        <v>4</v>
      </c>
      <c r="K289" s="102" t="s">
        <v>578</v>
      </c>
    </row>
    <row r="290" customFormat="false" ht="15" hidden="false" customHeight="false" outlineLevel="0" collapsed="false">
      <c r="A290" s="106" t="s">
        <v>874</v>
      </c>
      <c r="B290" s="106" t="s">
        <v>501</v>
      </c>
      <c r="C290" s="179" t="s">
        <v>502</v>
      </c>
      <c r="D290" s="106" t="s">
        <v>12</v>
      </c>
      <c r="E290" s="179" t="s">
        <v>21</v>
      </c>
      <c r="F290" s="179" t="s">
        <v>586</v>
      </c>
      <c r="G290" s="106" t="n">
        <v>7</v>
      </c>
      <c r="H290" s="106" t="n">
        <v>5.6</v>
      </c>
      <c r="I290" s="191" t="n">
        <f aca="false">IFERROR(H290/G290,0)</f>
        <v>0.8</v>
      </c>
      <c r="J290" s="188" t="n">
        <f aca="false">IF(I290&gt;=0.95,5,IF(I290&gt;=0.8,4,IF(I290&gt;=0.65,3,IF(I290&gt;=0.5,2,1))))</f>
        <v>4</v>
      </c>
      <c r="K290" s="106" t="s">
        <v>578</v>
      </c>
    </row>
    <row r="291" customFormat="false" ht="15" hidden="false" customHeight="false" outlineLevel="0" collapsed="false">
      <c r="A291" s="102" t="s">
        <v>875</v>
      </c>
      <c r="B291" s="102" t="s">
        <v>503</v>
      </c>
      <c r="C291" s="177" t="s">
        <v>504</v>
      </c>
      <c r="D291" s="102" t="s">
        <v>12</v>
      </c>
      <c r="E291" s="177" t="s">
        <v>21</v>
      </c>
      <c r="F291" s="177" t="s">
        <v>583</v>
      </c>
      <c r="G291" s="102" t="n">
        <v>100</v>
      </c>
      <c r="H291" s="102" t="n">
        <v>60</v>
      </c>
      <c r="I291" s="190" t="n">
        <f aca="false">IFERROR(H291/G291,0)</f>
        <v>0.6</v>
      </c>
      <c r="J291" s="186" t="n">
        <f aca="false">IF(I291&gt;=0.95,5,IF(I291&gt;=0.8,4,IF(I291&gt;=0.65,3,IF(I291&gt;=0.5,2,1))))</f>
        <v>2</v>
      </c>
      <c r="K291" s="102" t="s">
        <v>581</v>
      </c>
    </row>
    <row r="292" customFormat="false" ht="15" hidden="false" customHeight="false" outlineLevel="0" collapsed="false">
      <c r="A292" s="106" t="s">
        <v>876</v>
      </c>
      <c r="B292" s="106" t="s">
        <v>503</v>
      </c>
      <c r="C292" s="179" t="s">
        <v>504</v>
      </c>
      <c r="D292" s="106" t="s">
        <v>12</v>
      </c>
      <c r="E292" s="179" t="s">
        <v>21</v>
      </c>
      <c r="F292" s="179" t="s">
        <v>580</v>
      </c>
      <c r="G292" s="106" t="n">
        <v>6</v>
      </c>
      <c r="H292" s="106" t="n">
        <v>2.4</v>
      </c>
      <c r="I292" s="191" t="n">
        <f aca="false">IFERROR(H292/G292,0)</f>
        <v>0.4</v>
      </c>
      <c r="J292" s="188" t="n">
        <f aca="false">IF(I292&gt;=0.95,5,IF(I292&gt;=0.8,4,IF(I292&gt;=0.65,3,IF(I292&gt;=0.5,2,1))))</f>
        <v>1</v>
      </c>
      <c r="K292" s="106" t="s">
        <v>581</v>
      </c>
    </row>
    <row r="293" customFormat="false" ht="15" hidden="false" customHeight="false" outlineLevel="0" collapsed="false">
      <c r="A293" s="102" t="s">
        <v>877</v>
      </c>
      <c r="B293" s="102" t="s">
        <v>505</v>
      </c>
      <c r="C293" s="177" t="s">
        <v>126</v>
      </c>
      <c r="D293" s="102" t="s">
        <v>12</v>
      </c>
      <c r="E293" s="177" t="s">
        <v>22</v>
      </c>
      <c r="F293" s="177" t="s">
        <v>603</v>
      </c>
      <c r="G293" s="102" t="n">
        <v>20</v>
      </c>
      <c r="H293" s="102" t="n">
        <v>18</v>
      </c>
      <c r="I293" s="190" t="n">
        <f aca="false">IFERROR(H293/G293,0)</f>
        <v>0.9</v>
      </c>
      <c r="J293" s="186" t="n">
        <f aca="false">IF(I293&gt;=0.95,5,IF(I293&gt;=0.8,4,IF(I293&gt;=0.65,3,IF(I293&gt;=0.5,2,1))))</f>
        <v>4</v>
      </c>
      <c r="K293" s="102" t="s">
        <v>578</v>
      </c>
    </row>
    <row r="294" customFormat="false" ht="15" hidden="false" customHeight="false" outlineLevel="0" collapsed="false">
      <c r="A294" s="106" t="s">
        <v>878</v>
      </c>
      <c r="B294" s="106" t="s">
        <v>505</v>
      </c>
      <c r="C294" s="179" t="s">
        <v>126</v>
      </c>
      <c r="D294" s="106" t="s">
        <v>12</v>
      </c>
      <c r="E294" s="179" t="s">
        <v>22</v>
      </c>
      <c r="F294" s="179" t="s">
        <v>592</v>
      </c>
      <c r="G294" s="106" t="n">
        <v>10</v>
      </c>
      <c r="H294" s="106" t="n">
        <v>6</v>
      </c>
      <c r="I294" s="191" t="n">
        <f aca="false">IFERROR(H294/G294,0)</f>
        <v>0.6</v>
      </c>
      <c r="J294" s="188" t="n">
        <f aca="false">IF(I294&gt;=0.95,5,IF(I294&gt;=0.8,4,IF(I294&gt;=0.65,3,IF(I294&gt;=0.5,2,1))))</f>
        <v>2</v>
      </c>
      <c r="K294" s="106" t="s">
        <v>581</v>
      </c>
    </row>
    <row r="295" customFormat="false" ht="15" hidden="false" customHeight="false" outlineLevel="0" collapsed="false">
      <c r="A295" s="102" t="s">
        <v>879</v>
      </c>
      <c r="B295" s="102" t="s">
        <v>505</v>
      </c>
      <c r="C295" s="177" t="s">
        <v>126</v>
      </c>
      <c r="D295" s="102" t="s">
        <v>12</v>
      </c>
      <c r="E295" s="177" t="s">
        <v>22</v>
      </c>
      <c r="F295" s="177" t="s">
        <v>588</v>
      </c>
      <c r="G295" s="102" t="n">
        <v>80</v>
      </c>
      <c r="H295" s="102" t="n">
        <v>80</v>
      </c>
      <c r="I295" s="190" t="n">
        <f aca="false">IFERROR(H295/G295,0)</f>
        <v>1</v>
      </c>
      <c r="J295" s="186" t="n">
        <f aca="false">IF(I295&gt;=0.95,5,IF(I295&gt;=0.8,4,IF(I295&gt;=0.65,3,IF(I295&gt;=0.5,2,1))))</f>
        <v>5</v>
      </c>
      <c r="K295" s="102" t="s">
        <v>601</v>
      </c>
    </row>
    <row r="296" customFormat="false" ht="15" hidden="false" customHeight="false" outlineLevel="0" collapsed="false">
      <c r="A296" s="106" t="s">
        <v>880</v>
      </c>
      <c r="B296" s="106" t="s">
        <v>506</v>
      </c>
      <c r="C296" s="179" t="s">
        <v>504</v>
      </c>
      <c r="D296" s="106" t="s">
        <v>12</v>
      </c>
      <c r="E296" s="179" t="s">
        <v>23</v>
      </c>
      <c r="F296" s="179" t="s">
        <v>577</v>
      </c>
      <c r="G296" s="106" t="n">
        <v>95</v>
      </c>
      <c r="H296" s="106" t="n">
        <v>95</v>
      </c>
      <c r="I296" s="191" t="n">
        <f aca="false">IFERROR(H296/G296,0)</f>
        <v>1</v>
      </c>
      <c r="J296" s="188" t="n">
        <f aca="false">IF(I296&gt;=0.95,5,IF(I296&gt;=0.8,4,IF(I296&gt;=0.65,3,IF(I296&gt;=0.5,2,1))))</f>
        <v>5</v>
      </c>
      <c r="K296" s="106" t="s">
        <v>601</v>
      </c>
    </row>
    <row r="297" customFormat="false" ht="15" hidden="false" customHeight="false" outlineLevel="0" collapsed="false">
      <c r="A297" s="102" t="s">
        <v>881</v>
      </c>
      <c r="B297" s="102" t="s">
        <v>506</v>
      </c>
      <c r="C297" s="177" t="s">
        <v>504</v>
      </c>
      <c r="D297" s="102" t="s">
        <v>12</v>
      </c>
      <c r="E297" s="177" t="s">
        <v>23</v>
      </c>
      <c r="F297" s="177" t="s">
        <v>588</v>
      </c>
      <c r="G297" s="102" t="n">
        <v>100</v>
      </c>
      <c r="H297" s="102" t="n">
        <v>80</v>
      </c>
      <c r="I297" s="190" t="n">
        <f aca="false">IFERROR(H297/G297,0)</f>
        <v>0.8</v>
      </c>
      <c r="J297" s="186" t="n">
        <f aca="false">IF(I297&gt;=0.95,5,IF(I297&gt;=0.8,4,IF(I297&gt;=0.65,3,IF(I297&gt;=0.5,2,1))))</f>
        <v>4</v>
      </c>
      <c r="K297" s="102" t="s">
        <v>578</v>
      </c>
    </row>
    <row r="298" customFormat="false" ht="15" hidden="false" customHeight="false" outlineLevel="0" collapsed="false">
      <c r="A298" s="106" t="s">
        <v>882</v>
      </c>
      <c r="B298" s="106" t="s">
        <v>506</v>
      </c>
      <c r="C298" s="179" t="s">
        <v>504</v>
      </c>
      <c r="D298" s="106" t="s">
        <v>12</v>
      </c>
      <c r="E298" s="179" t="s">
        <v>23</v>
      </c>
      <c r="F298" s="179" t="s">
        <v>590</v>
      </c>
      <c r="G298" s="106" t="n">
        <v>7</v>
      </c>
      <c r="H298" s="106" t="n">
        <v>5.6</v>
      </c>
      <c r="I298" s="191" t="n">
        <f aca="false">IFERROR(H298/G298,0)</f>
        <v>0.8</v>
      </c>
      <c r="J298" s="188" t="n">
        <f aca="false">IF(I298&gt;=0.95,5,IF(I298&gt;=0.8,4,IF(I298&gt;=0.65,3,IF(I298&gt;=0.5,2,1))))</f>
        <v>4</v>
      </c>
      <c r="K298" s="106" t="s">
        <v>578</v>
      </c>
    </row>
    <row r="299" customFormat="false" ht="15" hidden="false" customHeight="false" outlineLevel="0" collapsed="false">
      <c r="A299" s="102" t="s">
        <v>883</v>
      </c>
      <c r="B299" s="102" t="s">
        <v>506</v>
      </c>
      <c r="C299" s="177" t="s">
        <v>504</v>
      </c>
      <c r="D299" s="102" t="s">
        <v>12</v>
      </c>
      <c r="E299" s="177" t="s">
        <v>23</v>
      </c>
      <c r="F299" s="177" t="s">
        <v>580</v>
      </c>
      <c r="G299" s="102" t="n">
        <v>9</v>
      </c>
      <c r="H299" s="102" t="n">
        <v>9</v>
      </c>
      <c r="I299" s="190" t="n">
        <f aca="false">IFERROR(H299/G299,0)</f>
        <v>1</v>
      </c>
      <c r="J299" s="186" t="n">
        <f aca="false">IF(I299&gt;=0.95,5,IF(I299&gt;=0.8,4,IF(I299&gt;=0.65,3,IF(I299&gt;=0.5,2,1))))</f>
        <v>5</v>
      </c>
      <c r="K299" s="102" t="s">
        <v>601</v>
      </c>
    </row>
    <row r="300" customFormat="false" ht="15" hidden="false" customHeight="false" outlineLevel="0" collapsed="false">
      <c r="A300" s="106" t="s">
        <v>884</v>
      </c>
      <c r="B300" s="106" t="s">
        <v>507</v>
      </c>
      <c r="C300" s="179" t="s">
        <v>508</v>
      </c>
      <c r="D300" s="106" t="s">
        <v>12</v>
      </c>
      <c r="E300" s="179" t="s">
        <v>23</v>
      </c>
      <c r="F300" s="179" t="s">
        <v>592</v>
      </c>
      <c r="G300" s="106" t="n">
        <v>9</v>
      </c>
      <c r="H300" s="106" t="n">
        <v>9</v>
      </c>
      <c r="I300" s="191" t="n">
        <f aca="false">IFERROR(H300/G300,0)</f>
        <v>1</v>
      </c>
      <c r="J300" s="188" t="n">
        <f aca="false">IF(I300&gt;=0.95,5,IF(I300&gt;=0.8,4,IF(I300&gt;=0.65,3,IF(I300&gt;=0.5,2,1))))</f>
        <v>5</v>
      </c>
      <c r="K300" s="106" t="s">
        <v>601</v>
      </c>
    </row>
    <row r="301" customFormat="false" ht="15" hidden="false" customHeight="false" outlineLevel="0" collapsed="false">
      <c r="A301" s="102" t="s">
        <v>885</v>
      </c>
      <c r="B301" s="102" t="s">
        <v>507</v>
      </c>
      <c r="C301" s="177" t="s">
        <v>508</v>
      </c>
      <c r="D301" s="102" t="s">
        <v>12</v>
      </c>
      <c r="E301" s="177" t="s">
        <v>23</v>
      </c>
      <c r="F301" s="177" t="s">
        <v>586</v>
      </c>
      <c r="G301" s="102" t="n">
        <v>8</v>
      </c>
      <c r="H301" s="102" t="n">
        <v>6.4</v>
      </c>
      <c r="I301" s="190" t="n">
        <f aca="false">IFERROR(H301/G301,0)</f>
        <v>0.8</v>
      </c>
      <c r="J301" s="186" t="n">
        <f aca="false">IF(I301&gt;=0.95,5,IF(I301&gt;=0.8,4,IF(I301&gt;=0.65,3,IF(I301&gt;=0.5,2,1))))</f>
        <v>4</v>
      </c>
      <c r="K301" s="102" t="s">
        <v>578</v>
      </c>
    </row>
    <row r="302" customFormat="false" ht="15" hidden="false" customHeight="false" outlineLevel="0" collapsed="false">
      <c r="A302" s="106" t="s">
        <v>886</v>
      </c>
      <c r="B302" s="106" t="s">
        <v>507</v>
      </c>
      <c r="C302" s="179" t="s">
        <v>508</v>
      </c>
      <c r="D302" s="106" t="s">
        <v>12</v>
      </c>
      <c r="E302" s="179" t="s">
        <v>23</v>
      </c>
      <c r="F302" s="179" t="s">
        <v>603</v>
      </c>
      <c r="G302" s="106" t="n">
        <v>100</v>
      </c>
      <c r="H302" s="106" t="n">
        <v>80</v>
      </c>
      <c r="I302" s="191" t="n">
        <f aca="false">IFERROR(H302/G302,0)</f>
        <v>0.8</v>
      </c>
      <c r="J302" s="188" t="n">
        <f aca="false">IF(I302&gt;=0.95,5,IF(I302&gt;=0.8,4,IF(I302&gt;=0.65,3,IF(I302&gt;=0.5,2,1))))</f>
        <v>4</v>
      </c>
      <c r="K302" s="106" t="s">
        <v>578</v>
      </c>
    </row>
    <row r="303" customFormat="false" ht="15" hidden="false" customHeight="false" outlineLevel="0" collapsed="false">
      <c r="A303" s="102" t="s">
        <v>887</v>
      </c>
      <c r="B303" s="102" t="s">
        <v>507</v>
      </c>
      <c r="C303" s="177" t="s">
        <v>508</v>
      </c>
      <c r="D303" s="102" t="s">
        <v>12</v>
      </c>
      <c r="E303" s="177" t="s">
        <v>23</v>
      </c>
      <c r="F303" s="177" t="s">
        <v>583</v>
      </c>
      <c r="G303" s="102" t="n">
        <v>20</v>
      </c>
      <c r="H303" s="102" t="n">
        <v>8</v>
      </c>
      <c r="I303" s="190" t="n">
        <f aca="false">IFERROR(H303/G303,0)</f>
        <v>0.4</v>
      </c>
      <c r="J303" s="186" t="n">
        <f aca="false">IF(I303&gt;=0.95,5,IF(I303&gt;=0.8,4,IF(I303&gt;=0.65,3,IF(I303&gt;=0.5,2,1))))</f>
        <v>1</v>
      </c>
      <c r="K303" s="102" t="s">
        <v>581</v>
      </c>
    </row>
    <row r="304" customFormat="false" ht="15" hidden="false" customHeight="false" outlineLevel="0" collapsed="false">
      <c r="A304" s="106" t="s">
        <v>888</v>
      </c>
      <c r="B304" s="106" t="s">
        <v>86</v>
      </c>
      <c r="C304" s="179" t="s">
        <v>87</v>
      </c>
      <c r="D304" s="106" t="s">
        <v>12</v>
      </c>
      <c r="E304" s="179" t="s">
        <v>15</v>
      </c>
      <c r="F304" s="179" t="s">
        <v>598</v>
      </c>
      <c r="G304" s="106" t="n">
        <v>8</v>
      </c>
      <c r="H304" s="106" t="n">
        <v>5.6</v>
      </c>
      <c r="I304" s="191" t="n">
        <f aca="false">IFERROR(H304/G304,0)</f>
        <v>0.7</v>
      </c>
      <c r="J304" s="188" t="n">
        <f aca="false">IF(I304&gt;=0.95,5,IF(I304&gt;=0.8,4,IF(I304&gt;=0.65,3,IF(I304&gt;=0.5,2,1))))</f>
        <v>3</v>
      </c>
      <c r="K304" s="106" t="s">
        <v>578</v>
      </c>
    </row>
    <row r="305" customFormat="false" ht="15" hidden="false" customHeight="false" outlineLevel="0" collapsed="false">
      <c r="A305" s="102" t="s">
        <v>889</v>
      </c>
      <c r="B305" s="102" t="s">
        <v>86</v>
      </c>
      <c r="C305" s="177" t="s">
        <v>87</v>
      </c>
      <c r="D305" s="102" t="s">
        <v>12</v>
      </c>
      <c r="E305" s="177" t="s">
        <v>15</v>
      </c>
      <c r="F305" s="177" t="s">
        <v>586</v>
      </c>
      <c r="G305" s="102" t="n">
        <v>8</v>
      </c>
      <c r="H305" s="102" t="n">
        <v>5.6</v>
      </c>
      <c r="I305" s="190" t="n">
        <f aca="false">IFERROR(H305/G305,0)</f>
        <v>0.7</v>
      </c>
      <c r="J305" s="186" t="n">
        <f aca="false">IF(I305&gt;=0.95,5,IF(I305&gt;=0.8,4,IF(I305&gt;=0.65,3,IF(I305&gt;=0.5,2,1))))</f>
        <v>3</v>
      </c>
      <c r="K305" s="102" t="s">
        <v>578</v>
      </c>
    </row>
    <row r="306" customFormat="false" ht="15" hidden="false" customHeight="false" outlineLevel="0" collapsed="false">
      <c r="A306" s="106" t="s">
        <v>890</v>
      </c>
      <c r="B306" s="106" t="s">
        <v>510</v>
      </c>
      <c r="C306" s="179" t="s">
        <v>511</v>
      </c>
      <c r="D306" s="106" t="s">
        <v>12</v>
      </c>
      <c r="E306" s="179" t="s">
        <v>15</v>
      </c>
      <c r="F306" s="179" t="s">
        <v>590</v>
      </c>
      <c r="G306" s="106" t="n">
        <v>3</v>
      </c>
      <c r="H306" s="106" t="n">
        <v>3</v>
      </c>
      <c r="I306" s="191" t="n">
        <f aca="false">IFERROR(H306/G306,0)</f>
        <v>1</v>
      </c>
      <c r="J306" s="188" t="n">
        <f aca="false">IF(I306&gt;=0.95,5,IF(I306&gt;=0.8,4,IF(I306&gt;=0.65,3,IF(I306&gt;=0.5,2,1))))</f>
        <v>5</v>
      </c>
      <c r="K306" s="106" t="s">
        <v>601</v>
      </c>
    </row>
    <row r="307" customFormat="false" ht="15" hidden="false" customHeight="false" outlineLevel="0" collapsed="false">
      <c r="A307" s="102" t="s">
        <v>891</v>
      </c>
      <c r="B307" s="102" t="s">
        <v>510</v>
      </c>
      <c r="C307" s="177" t="s">
        <v>511</v>
      </c>
      <c r="D307" s="102" t="s">
        <v>12</v>
      </c>
      <c r="E307" s="177" t="s">
        <v>15</v>
      </c>
      <c r="F307" s="177" t="s">
        <v>586</v>
      </c>
      <c r="G307" s="102" t="n">
        <v>10</v>
      </c>
      <c r="H307" s="102" t="n">
        <v>8</v>
      </c>
      <c r="I307" s="190" t="n">
        <f aca="false">IFERROR(H307/G307,0)</f>
        <v>0.8</v>
      </c>
      <c r="J307" s="186" t="n">
        <f aca="false">IF(I307&gt;=0.95,5,IF(I307&gt;=0.8,4,IF(I307&gt;=0.65,3,IF(I307&gt;=0.5,2,1))))</f>
        <v>4</v>
      </c>
      <c r="K307" s="102" t="s">
        <v>578</v>
      </c>
    </row>
    <row r="308" customFormat="false" ht="15" hidden="false" customHeight="false" outlineLevel="0" collapsed="false">
      <c r="A308" s="106" t="s">
        <v>892</v>
      </c>
      <c r="B308" s="106" t="s">
        <v>510</v>
      </c>
      <c r="C308" s="179" t="s">
        <v>511</v>
      </c>
      <c r="D308" s="106" t="s">
        <v>12</v>
      </c>
      <c r="E308" s="179" t="s">
        <v>15</v>
      </c>
      <c r="F308" s="179" t="s">
        <v>583</v>
      </c>
      <c r="G308" s="106" t="n">
        <v>5</v>
      </c>
      <c r="H308" s="106" t="n">
        <v>3</v>
      </c>
      <c r="I308" s="191" t="n">
        <f aca="false">IFERROR(H308/G308,0)</f>
        <v>0.6</v>
      </c>
      <c r="J308" s="188" t="n">
        <f aca="false">IF(I308&gt;=0.95,5,IF(I308&gt;=0.8,4,IF(I308&gt;=0.65,3,IF(I308&gt;=0.5,2,1))))</f>
        <v>2</v>
      </c>
      <c r="K308" s="106" t="s">
        <v>581</v>
      </c>
    </row>
    <row r="309" customFormat="false" ht="15" hidden="false" customHeight="false" outlineLevel="0" collapsed="false">
      <c r="A309" s="102" t="s">
        <v>893</v>
      </c>
      <c r="B309" s="102" t="s">
        <v>510</v>
      </c>
      <c r="C309" s="177" t="s">
        <v>511</v>
      </c>
      <c r="D309" s="102" t="s">
        <v>12</v>
      </c>
      <c r="E309" s="177" t="s">
        <v>15</v>
      </c>
      <c r="F309" s="177" t="s">
        <v>577</v>
      </c>
      <c r="G309" s="102" t="n">
        <v>95</v>
      </c>
      <c r="H309" s="102" t="n">
        <v>47.5</v>
      </c>
      <c r="I309" s="190" t="n">
        <f aca="false">IFERROR(H309/G309,0)</f>
        <v>0.5</v>
      </c>
      <c r="J309" s="186" t="n">
        <f aca="false">IF(I309&gt;=0.95,5,IF(I309&gt;=0.8,4,IF(I309&gt;=0.65,3,IF(I309&gt;=0.5,2,1))))</f>
        <v>2</v>
      </c>
      <c r="K309" s="102" t="s">
        <v>581</v>
      </c>
    </row>
    <row r="310" customFormat="false" ht="15" hidden="false" customHeight="false" outlineLevel="0" collapsed="false">
      <c r="A310" s="106" t="s">
        <v>894</v>
      </c>
      <c r="B310" s="106" t="s">
        <v>82</v>
      </c>
      <c r="C310" s="179" t="s">
        <v>83</v>
      </c>
      <c r="D310" s="106" t="s">
        <v>12</v>
      </c>
      <c r="E310" s="179" t="s">
        <v>16</v>
      </c>
      <c r="F310" s="179" t="s">
        <v>586</v>
      </c>
      <c r="G310" s="106" t="n">
        <v>8</v>
      </c>
      <c r="H310" s="106" t="n">
        <v>6.4</v>
      </c>
      <c r="I310" s="191" t="n">
        <f aca="false">IFERROR(H310/G310,0)</f>
        <v>0.8</v>
      </c>
      <c r="J310" s="188" t="n">
        <f aca="false">IF(I310&gt;=0.95,5,IF(I310&gt;=0.8,4,IF(I310&gt;=0.65,3,IF(I310&gt;=0.5,2,1))))</f>
        <v>4</v>
      </c>
      <c r="K310" s="106" t="s">
        <v>578</v>
      </c>
    </row>
    <row r="311" customFormat="false" ht="15" hidden="false" customHeight="false" outlineLevel="0" collapsed="false">
      <c r="A311" s="102" t="s">
        <v>895</v>
      </c>
      <c r="B311" s="102" t="s">
        <v>82</v>
      </c>
      <c r="C311" s="177" t="s">
        <v>83</v>
      </c>
      <c r="D311" s="102" t="s">
        <v>12</v>
      </c>
      <c r="E311" s="177" t="s">
        <v>16</v>
      </c>
      <c r="F311" s="177" t="s">
        <v>580</v>
      </c>
      <c r="G311" s="102" t="n">
        <v>7</v>
      </c>
      <c r="H311" s="102" t="n">
        <v>5.6</v>
      </c>
      <c r="I311" s="190" t="n">
        <f aca="false">IFERROR(H311/G311,0)</f>
        <v>0.8</v>
      </c>
      <c r="J311" s="186" t="n">
        <f aca="false">IF(I311&gt;=0.95,5,IF(I311&gt;=0.8,4,IF(I311&gt;=0.65,3,IF(I311&gt;=0.5,2,1))))</f>
        <v>4</v>
      </c>
      <c r="K311" s="102" t="s">
        <v>578</v>
      </c>
    </row>
    <row r="312" customFormat="false" ht="15" hidden="false" customHeight="false" outlineLevel="0" collapsed="false">
      <c r="A312" s="106" t="s">
        <v>896</v>
      </c>
      <c r="B312" s="106" t="s">
        <v>512</v>
      </c>
      <c r="C312" s="179" t="s">
        <v>513</v>
      </c>
      <c r="D312" s="106" t="s">
        <v>12</v>
      </c>
      <c r="E312" s="179" t="s">
        <v>16</v>
      </c>
      <c r="F312" s="179" t="s">
        <v>592</v>
      </c>
      <c r="G312" s="106" t="n">
        <v>7</v>
      </c>
      <c r="H312" s="106" t="n">
        <v>4.9</v>
      </c>
      <c r="I312" s="191" t="n">
        <f aca="false">IFERROR(H312/G312,0)</f>
        <v>0.7</v>
      </c>
      <c r="J312" s="188" t="n">
        <f aca="false">IF(I312&gt;=0.95,5,IF(I312&gt;=0.8,4,IF(I312&gt;=0.65,3,IF(I312&gt;=0.5,2,1))))</f>
        <v>3</v>
      </c>
      <c r="K312" s="106" t="s">
        <v>578</v>
      </c>
    </row>
    <row r="313" customFormat="false" ht="15" hidden="false" customHeight="false" outlineLevel="0" collapsed="false">
      <c r="A313" s="102" t="s">
        <v>897</v>
      </c>
      <c r="B313" s="102" t="s">
        <v>512</v>
      </c>
      <c r="C313" s="177" t="s">
        <v>513</v>
      </c>
      <c r="D313" s="102" t="s">
        <v>12</v>
      </c>
      <c r="E313" s="177" t="s">
        <v>16</v>
      </c>
      <c r="F313" s="177" t="s">
        <v>598</v>
      </c>
      <c r="G313" s="102" t="n">
        <v>10</v>
      </c>
      <c r="H313" s="102" t="n">
        <v>9</v>
      </c>
      <c r="I313" s="190" t="n">
        <f aca="false">IFERROR(H313/G313,0)</f>
        <v>0.9</v>
      </c>
      <c r="J313" s="186" t="n">
        <f aca="false">IF(I313&gt;=0.95,5,IF(I313&gt;=0.8,4,IF(I313&gt;=0.65,3,IF(I313&gt;=0.5,2,1))))</f>
        <v>4</v>
      </c>
      <c r="K313" s="102" t="s">
        <v>578</v>
      </c>
    </row>
    <row r="314" customFormat="false" ht="15" hidden="false" customHeight="false" outlineLevel="0" collapsed="false">
      <c r="A314" s="106" t="s">
        <v>898</v>
      </c>
      <c r="B314" s="106" t="s">
        <v>512</v>
      </c>
      <c r="C314" s="179" t="s">
        <v>513</v>
      </c>
      <c r="D314" s="106" t="s">
        <v>12</v>
      </c>
      <c r="E314" s="179" t="s">
        <v>16</v>
      </c>
      <c r="F314" s="179" t="s">
        <v>586</v>
      </c>
      <c r="G314" s="106" t="n">
        <v>3</v>
      </c>
      <c r="H314" s="106" t="n">
        <v>2.4</v>
      </c>
      <c r="I314" s="191" t="n">
        <f aca="false">IFERROR(H314/G314,0)</f>
        <v>0.8</v>
      </c>
      <c r="J314" s="188" t="n">
        <f aca="false">IF(I314&gt;=0.95,5,IF(I314&gt;=0.8,4,IF(I314&gt;=0.65,3,IF(I314&gt;=0.5,2,1))))</f>
        <v>4</v>
      </c>
      <c r="K314" s="106" t="s">
        <v>578</v>
      </c>
    </row>
    <row r="315" customFormat="false" ht="15" hidden="false" customHeight="false" outlineLevel="0" collapsed="false">
      <c r="A315" s="102" t="s">
        <v>899</v>
      </c>
      <c r="B315" s="102" t="s">
        <v>514</v>
      </c>
      <c r="C315" s="177" t="s">
        <v>515</v>
      </c>
      <c r="D315" s="102" t="s">
        <v>12</v>
      </c>
      <c r="E315" s="177" t="s">
        <v>16</v>
      </c>
      <c r="F315" s="177" t="s">
        <v>603</v>
      </c>
      <c r="G315" s="102" t="n">
        <v>10</v>
      </c>
      <c r="H315" s="102" t="n">
        <v>9</v>
      </c>
      <c r="I315" s="190" t="n">
        <f aca="false">IFERROR(H315/G315,0)</f>
        <v>0.9</v>
      </c>
      <c r="J315" s="186" t="n">
        <f aca="false">IF(I315&gt;=0.95,5,IF(I315&gt;=0.8,4,IF(I315&gt;=0.65,3,IF(I315&gt;=0.5,2,1))))</f>
        <v>4</v>
      </c>
      <c r="K315" s="102" t="s">
        <v>578</v>
      </c>
    </row>
    <row r="316" customFormat="false" ht="15" hidden="false" customHeight="false" outlineLevel="0" collapsed="false">
      <c r="A316" s="106" t="s">
        <v>900</v>
      </c>
      <c r="B316" s="106" t="s">
        <v>514</v>
      </c>
      <c r="C316" s="179" t="s">
        <v>515</v>
      </c>
      <c r="D316" s="106" t="s">
        <v>12</v>
      </c>
      <c r="E316" s="179" t="s">
        <v>16</v>
      </c>
      <c r="F316" s="179" t="s">
        <v>586</v>
      </c>
      <c r="G316" s="106" t="n">
        <v>6</v>
      </c>
      <c r="H316" s="106" t="n">
        <v>6</v>
      </c>
      <c r="I316" s="191" t="n">
        <f aca="false">IFERROR(H316/G316,0)</f>
        <v>1</v>
      </c>
      <c r="J316" s="188" t="n">
        <f aca="false">IF(I316&gt;=0.95,5,IF(I316&gt;=0.8,4,IF(I316&gt;=0.65,3,IF(I316&gt;=0.5,2,1))))</f>
        <v>5</v>
      </c>
      <c r="K316" s="106" t="s">
        <v>601</v>
      </c>
    </row>
    <row r="317" customFormat="false" ht="15" hidden="false" customHeight="false" outlineLevel="0" collapsed="false">
      <c r="A317" s="102" t="s">
        <v>901</v>
      </c>
      <c r="B317" s="102" t="s">
        <v>514</v>
      </c>
      <c r="C317" s="177" t="s">
        <v>515</v>
      </c>
      <c r="D317" s="102" t="s">
        <v>12</v>
      </c>
      <c r="E317" s="177" t="s">
        <v>16</v>
      </c>
      <c r="F317" s="177" t="s">
        <v>595</v>
      </c>
      <c r="G317" s="102" t="n">
        <v>100</v>
      </c>
      <c r="H317" s="102" t="n">
        <v>90</v>
      </c>
      <c r="I317" s="190" t="n">
        <f aca="false">IFERROR(H317/G317,0)</f>
        <v>0.9</v>
      </c>
      <c r="J317" s="186" t="n">
        <f aca="false">IF(I317&gt;=0.95,5,IF(I317&gt;=0.8,4,IF(I317&gt;=0.65,3,IF(I317&gt;=0.5,2,1))))</f>
        <v>4</v>
      </c>
      <c r="K317" s="102" t="s">
        <v>578</v>
      </c>
    </row>
    <row r="318" customFormat="false" ht="15" hidden="false" customHeight="false" outlineLevel="0" collapsed="false">
      <c r="A318" s="106" t="s">
        <v>902</v>
      </c>
      <c r="B318" s="106" t="s">
        <v>514</v>
      </c>
      <c r="C318" s="179" t="s">
        <v>515</v>
      </c>
      <c r="D318" s="106" t="s">
        <v>12</v>
      </c>
      <c r="E318" s="179" t="s">
        <v>16</v>
      </c>
      <c r="F318" s="179" t="s">
        <v>590</v>
      </c>
      <c r="G318" s="106" t="n">
        <v>9</v>
      </c>
      <c r="H318" s="106" t="n">
        <v>7.2</v>
      </c>
      <c r="I318" s="191" t="n">
        <f aca="false">IFERROR(H318/G318,0)</f>
        <v>0.8</v>
      </c>
      <c r="J318" s="188" t="n">
        <f aca="false">IF(I318&gt;=0.95,5,IF(I318&gt;=0.8,4,IF(I318&gt;=0.65,3,IF(I318&gt;=0.5,2,1))))</f>
        <v>4</v>
      </c>
      <c r="K318" s="106" t="s">
        <v>578</v>
      </c>
    </row>
    <row r="319" customFormat="false" ht="15" hidden="false" customHeight="false" outlineLevel="0" collapsed="false">
      <c r="A319" s="102" t="s">
        <v>903</v>
      </c>
      <c r="B319" s="102" t="s">
        <v>516</v>
      </c>
      <c r="C319" s="177" t="s">
        <v>517</v>
      </c>
      <c r="D319" s="102" t="s">
        <v>12</v>
      </c>
      <c r="E319" s="177" t="s">
        <v>16</v>
      </c>
      <c r="F319" s="177" t="s">
        <v>583</v>
      </c>
      <c r="G319" s="102" t="n">
        <v>95</v>
      </c>
      <c r="H319" s="102" t="n">
        <v>38</v>
      </c>
      <c r="I319" s="190" t="n">
        <f aca="false">IFERROR(H319/G319,0)</f>
        <v>0.4</v>
      </c>
      <c r="J319" s="186" t="n">
        <f aca="false">IF(I319&gt;=0.95,5,IF(I319&gt;=0.8,4,IF(I319&gt;=0.65,3,IF(I319&gt;=0.5,2,1))))</f>
        <v>1</v>
      </c>
      <c r="K319" s="102" t="s">
        <v>581</v>
      </c>
    </row>
    <row r="320" customFormat="false" ht="15" hidden="false" customHeight="false" outlineLevel="0" collapsed="false">
      <c r="A320" s="106" t="s">
        <v>904</v>
      </c>
      <c r="B320" s="106" t="s">
        <v>516</v>
      </c>
      <c r="C320" s="179" t="s">
        <v>517</v>
      </c>
      <c r="D320" s="106" t="s">
        <v>12</v>
      </c>
      <c r="E320" s="179" t="s">
        <v>16</v>
      </c>
      <c r="F320" s="179" t="s">
        <v>595</v>
      </c>
      <c r="G320" s="106" t="n">
        <v>5</v>
      </c>
      <c r="H320" s="106" t="n">
        <v>4.5</v>
      </c>
      <c r="I320" s="191" t="n">
        <f aca="false">IFERROR(H320/G320,0)</f>
        <v>0.9</v>
      </c>
      <c r="J320" s="188" t="n">
        <f aca="false">IF(I320&gt;=0.95,5,IF(I320&gt;=0.8,4,IF(I320&gt;=0.65,3,IF(I320&gt;=0.5,2,1))))</f>
        <v>4</v>
      </c>
      <c r="K320" s="106" t="s">
        <v>578</v>
      </c>
    </row>
    <row r="321" customFormat="false" ht="15" hidden="false" customHeight="false" outlineLevel="0" collapsed="false">
      <c r="A321" s="102" t="s">
        <v>905</v>
      </c>
      <c r="B321" s="102" t="s">
        <v>516</v>
      </c>
      <c r="C321" s="177" t="s">
        <v>517</v>
      </c>
      <c r="D321" s="102" t="s">
        <v>12</v>
      </c>
      <c r="E321" s="177" t="s">
        <v>16</v>
      </c>
      <c r="F321" s="177" t="s">
        <v>588</v>
      </c>
      <c r="G321" s="102" t="n">
        <v>100</v>
      </c>
      <c r="H321" s="102" t="n">
        <v>50</v>
      </c>
      <c r="I321" s="190" t="n">
        <f aca="false">IFERROR(H321/G321,0)</f>
        <v>0.5</v>
      </c>
      <c r="J321" s="186" t="n">
        <f aca="false">IF(I321&gt;=0.95,5,IF(I321&gt;=0.8,4,IF(I321&gt;=0.65,3,IF(I321&gt;=0.5,2,1))))</f>
        <v>2</v>
      </c>
      <c r="K321" s="102" t="s">
        <v>581</v>
      </c>
    </row>
    <row r="322" customFormat="false" ht="15" hidden="false" customHeight="false" outlineLevel="0" collapsed="false">
      <c r="A322" s="106" t="s">
        <v>906</v>
      </c>
      <c r="B322" s="106" t="s">
        <v>516</v>
      </c>
      <c r="C322" s="179" t="s">
        <v>517</v>
      </c>
      <c r="D322" s="106" t="s">
        <v>12</v>
      </c>
      <c r="E322" s="179" t="s">
        <v>16</v>
      </c>
      <c r="F322" s="179" t="s">
        <v>580</v>
      </c>
      <c r="G322" s="106" t="n">
        <v>8</v>
      </c>
      <c r="H322" s="106" t="n">
        <v>5.6</v>
      </c>
      <c r="I322" s="191" t="n">
        <f aca="false">IFERROR(H322/G322,0)</f>
        <v>0.7</v>
      </c>
      <c r="J322" s="188" t="n">
        <f aca="false">IF(I322&gt;=0.95,5,IF(I322&gt;=0.8,4,IF(I322&gt;=0.65,3,IF(I322&gt;=0.5,2,1))))</f>
        <v>3</v>
      </c>
      <c r="K322" s="106" t="s">
        <v>578</v>
      </c>
    </row>
    <row r="323" customFormat="false" ht="15" hidden="false" customHeight="false" outlineLevel="0" collapsed="false">
      <c r="A323" s="102" t="s">
        <v>907</v>
      </c>
      <c r="B323" s="102" t="s">
        <v>519</v>
      </c>
      <c r="C323" s="177" t="s">
        <v>520</v>
      </c>
      <c r="D323" s="102" t="s">
        <v>12</v>
      </c>
      <c r="E323" s="177" t="s">
        <v>16</v>
      </c>
      <c r="F323" s="177" t="s">
        <v>577</v>
      </c>
      <c r="G323" s="102" t="n">
        <v>5</v>
      </c>
      <c r="H323" s="102" t="n">
        <v>4.5</v>
      </c>
      <c r="I323" s="190" t="n">
        <f aca="false">IFERROR(H323/G323,0)</f>
        <v>0.9</v>
      </c>
      <c r="J323" s="186" t="n">
        <f aca="false">IF(I323&gt;=0.95,5,IF(I323&gt;=0.8,4,IF(I323&gt;=0.65,3,IF(I323&gt;=0.5,2,1))))</f>
        <v>4</v>
      </c>
      <c r="K323" s="102" t="s">
        <v>578</v>
      </c>
    </row>
    <row r="324" customFormat="false" ht="15" hidden="false" customHeight="false" outlineLevel="0" collapsed="false">
      <c r="A324" s="106" t="s">
        <v>908</v>
      </c>
      <c r="B324" s="106" t="s">
        <v>519</v>
      </c>
      <c r="C324" s="179" t="s">
        <v>520</v>
      </c>
      <c r="D324" s="106" t="s">
        <v>12</v>
      </c>
      <c r="E324" s="179" t="s">
        <v>16</v>
      </c>
      <c r="F324" s="179" t="s">
        <v>588</v>
      </c>
      <c r="G324" s="106" t="n">
        <v>20</v>
      </c>
      <c r="H324" s="106" t="n">
        <v>18</v>
      </c>
      <c r="I324" s="191" t="n">
        <f aca="false">IFERROR(H324/G324,0)</f>
        <v>0.9</v>
      </c>
      <c r="J324" s="188" t="n">
        <f aca="false">IF(I324&gt;=0.95,5,IF(I324&gt;=0.8,4,IF(I324&gt;=0.65,3,IF(I324&gt;=0.5,2,1))))</f>
        <v>4</v>
      </c>
      <c r="K324" s="106" t="s">
        <v>578</v>
      </c>
    </row>
    <row r="325" customFormat="false" ht="15" hidden="false" customHeight="false" outlineLevel="0" collapsed="false">
      <c r="A325" s="102" t="s">
        <v>909</v>
      </c>
      <c r="B325" s="102" t="s">
        <v>519</v>
      </c>
      <c r="C325" s="177" t="s">
        <v>520</v>
      </c>
      <c r="D325" s="102" t="s">
        <v>12</v>
      </c>
      <c r="E325" s="177" t="s">
        <v>16</v>
      </c>
      <c r="F325" s="177" t="s">
        <v>590</v>
      </c>
      <c r="G325" s="102" t="n">
        <v>10</v>
      </c>
      <c r="H325" s="102" t="n">
        <v>9</v>
      </c>
      <c r="I325" s="190" t="n">
        <f aca="false">IFERROR(H325/G325,0)</f>
        <v>0.9</v>
      </c>
      <c r="J325" s="186" t="n">
        <f aca="false">IF(I325&gt;=0.95,5,IF(I325&gt;=0.8,4,IF(I325&gt;=0.65,3,IF(I325&gt;=0.5,2,1))))</f>
        <v>4</v>
      </c>
      <c r="K325" s="102" t="s">
        <v>578</v>
      </c>
    </row>
    <row r="326" customFormat="false" ht="15" hidden="false" customHeight="false" outlineLevel="0" collapsed="false">
      <c r="A326" s="106" t="s">
        <v>910</v>
      </c>
      <c r="B326" s="106" t="s">
        <v>519</v>
      </c>
      <c r="C326" s="179" t="s">
        <v>520</v>
      </c>
      <c r="D326" s="106" t="s">
        <v>12</v>
      </c>
      <c r="E326" s="179" t="s">
        <v>16</v>
      </c>
      <c r="F326" s="179" t="s">
        <v>595</v>
      </c>
      <c r="G326" s="106" t="n">
        <v>5</v>
      </c>
      <c r="H326" s="106" t="n">
        <v>2.5</v>
      </c>
      <c r="I326" s="191" t="n">
        <f aca="false">IFERROR(H326/G326,0)</f>
        <v>0.5</v>
      </c>
      <c r="J326" s="188" t="n">
        <f aca="false">IF(I326&gt;=0.95,5,IF(I326&gt;=0.8,4,IF(I326&gt;=0.65,3,IF(I326&gt;=0.5,2,1))))</f>
        <v>2</v>
      </c>
      <c r="K326" s="106" t="s">
        <v>581</v>
      </c>
    </row>
    <row r="327" customFormat="false" ht="15" hidden="false" customHeight="false" outlineLevel="0" collapsed="false">
      <c r="A327" s="102" t="s">
        <v>911</v>
      </c>
      <c r="B327" s="102" t="s">
        <v>96</v>
      </c>
      <c r="C327" s="177" t="s">
        <v>97</v>
      </c>
      <c r="D327" s="102" t="s">
        <v>12</v>
      </c>
      <c r="E327" s="177" t="s">
        <v>20</v>
      </c>
      <c r="F327" s="177" t="s">
        <v>598</v>
      </c>
      <c r="G327" s="102" t="n">
        <v>9</v>
      </c>
      <c r="H327" s="102" t="n">
        <v>5.4</v>
      </c>
      <c r="I327" s="190" t="n">
        <f aca="false">IFERROR(H327/G327,0)</f>
        <v>0.6</v>
      </c>
      <c r="J327" s="186" t="n">
        <f aca="false">IF(I327&gt;=0.95,5,IF(I327&gt;=0.8,4,IF(I327&gt;=0.65,3,IF(I327&gt;=0.5,2,1))))</f>
        <v>2</v>
      </c>
      <c r="K327" s="102" t="s">
        <v>581</v>
      </c>
    </row>
    <row r="328" customFormat="false" ht="15" hidden="false" customHeight="false" outlineLevel="0" collapsed="false">
      <c r="A328" s="106" t="s">
        <v>912</v>
      </c>
      <c r="B328" s="106" t="s">
        <v>96</v>
      </c>
      <c r="C328" s="179" t="s">
        <v>97</v>
      </c>
      <c r="D328" s="106" t="s">
        <v>12</v>
      </c>
      <c r="E328" s="179" t="s">
        <v>20</v>
      </c>
      <c r="F328" s="179" t="s">
        <v>590</v>
      </c>
      <c r="G328" s="106" t="n">
        <v>7</v>
      </c>
      <c r="H328" s="106" t="n">
        <v>7</v>
      </c>
      <c r="I328" s="191" t="n">
        <f aca="false">IFERROR(H328/G328,0)</f>
        <v>1</v>
      </c>
      <c r="J328" s="188" t="n">
        <f aca="false">IF(I328&gt;=0.95,5,IF(I328&gt;=0.8,4,IF(I328&gt;=0.65,3,IF(I328&gt;=0.5,2,1))))</f>
        <v>5</v>
      </c>
      <c r="K328" s="106" t="s">
        <v>601</v>
      </c>
    </row>
    <row r="329" customFormat="false" ht="15" hidden="false" customHeight="false" outlineLevel="0" collapsed="false">
      <c r="A329" s="102" t="s">
        <v>913</v>
      </c>
      <c r="B329" s="102" t="s">
        <v>96</v>
      </c>
      <c r="C329" s="177" t="s">
        <v>97</v>
      </c>
      <c r="D329" s="102" t="s">
        <v>12</v>
      </c>
      <c r="E329" s="177" t="s">
        <v>20</v>
      </c>
      <c r="F329" s="177" t="s">
        <v>586</v>
      </c>
      <c r="G329" s="102" t="n">
        <v>8</v>
      </c>
      <c r="H329" s="102" t="n">
        <v>4</v>
      </c>
      <c r="I329" s="190" t="n">
        <f aca="false">IFERROR(H329/G329,0)</f>
        <v>0.5</v>
      </c>
      <c r="J329" s="186" t="n">
        <f aca="false">IF(I329&gt;=0.95,5,IF(I329&gt;=0.8,4,IF(I329&gt;=0.65,3,IF(I329&gt;=0.5,2,1))))</f>
        <v>2</v>
      </c>
      <c r="K329" s="102" t="s">
        <v>581</v>
      </c>
    </row>
    <row r="330" customFormat="false" ht="15" hidden="false" customHeight="false" outlineLevel="0" collapsed="false">
      <c r="A330" s="106" t="s">
        <v>914</v>
      </c>
      <c r="B330" s="106" t="s">
        <v>521</v>
      </c>
      <c r="C330" s="179" t="s">
        <v>522</v>
      </c>
      <c r="D330" s="106" t="s">
        <v>12</v>
      </c>
      <c r="E330" s="179" t="s">
        <v>20</v>
      </c>
      <c r="F330" s="179" t="s">
        <v>577</v>
      </c>
      <c r="G330" s="106" t="n">
        <v>5</v>
      </c>
      <c r="H330" s="106" t="n">
        <v>4.5</v>
      </c>
      <c r="I330" s="191" t="n">
        <f aca="false">IFERROR(H330/G330,0)</f>
        <v>0.9</v>
      </c>
      <c r="J330" s="188" t="n">
        <f aca="false">IF(I330&gt;=0.95,5,IF(I330&gt;=0.8,4,IF(I330&gt;=0.65,3,IF(I330&gt;=0.5,2,1))))</f>
        <v>4</v>
      </c>
      <c r="K330" s="106" t="s">
        <v>578</v>
      </c>
    </row>
    <row r="331" customFormat="false" ht="15" hidden="false" customHeight="false" outlineLevel="0" collapsed="false">
      <c r="A331" s="102" t="s">
        <v>915</v>
      </c>
      <c r="B331" s="102" t="s">
        <v>521</v>
      </c>
      <c r="C331" s="177" t="s">
        <v>522</v>
      </c>
      <c r="D331" s="102" t="s">
        <v>12</v>
      </c>
      <c r="E331" s="177" t="s">
        <v>20</v>
      </c>
      <c r="F331" s="177" t="s">
        <v>588</v>
      </c>
      <c r="G331" s="102" t="n">
        <v>90</v>
      </c>
      <c r="H331" s="102" t="n">
        <v>90</v>
      </c>
      <c r="I331" s="190" t="n">
        <f aca="false">IFERROR(H331/G331,0)</f>
        <v>1</v>
      </c>
      <c r="J331" s="186" t="n">
        <f aca="false">IF(I331&gt;=0.95,5,IF(I331&gt;=0.8,4,IF(I331&gt;=0.65,3,IF(I331&gt;=0.5,2,1))))</f>
        <v>5</v>
      </c>
      <c r="K331" s="102" t="s">
        <v>601</v>
      </c>
    </row>
    <row r="332" customFormat="false" ht="15" hidden="false" customHeight="false" outlineLevel="0" collapsed="false">
      <c r="A332" s="106" t="s">
        <v>916</v>
      </c>
      <c r="B332" s="106" t="s">
        <v>521</v>
      </c>
      <c r="C332" s="179" t="s">
        <v>522</v>
      </c>
      <c r="D332" s="106" t="s">
        <v>12</v>
      </c>
      <c r="E332" s="179" t="s">
        <v>20</v>
      </c>
      <c r="F332" s="179" t="s">
        <v>590</v>
      </c>
      <c r="G332" s="106" t="n">
        <v>6</v>
      </c>
      <c r="H332" s="106" t="n">
        <v>6</v>
      </c>
      <c r="I332" s="191" t="n">
        <f aca="false">IFERROR(H332/G332,0)</f>
        <v>1</v>
      </c>
      <c r="J332" s="188" t="n">
        <f aca="false">IF(I332&gt;=0.95,5,IF(I332&gt;=0.8,4,IF(I332&gt;=0.65,3,IF(I332&gt;=0.5,2,1))))</f>
        <v>5</v>
      </c>
      <c r="K332" s="106" t="s">
        <v>601</v>
      </c>
    </row>
    <row r="333" customFormat="false" ht="15" hidden="false" customHeight="false" outlineLevel="0" collapsed="false">
      <c r="A333" s="102" t="s">
        <v>917</v>
      </c>
      <c r="B333" s="102" t="s">
        <v>521</v>
      </c>
      <c r="C333" s="177" t="s">
        <v>522</v>
      </c>
      <c r="D333" s="102" t="s">
        <v>12</v>
      </c>
      <c r="E333" s="177" t="s">
        <v>20</v>
      </c>
      <c r="F333" s="177" t="s">
        <v>586</v>
      </c>
      <c r="G333" s="102" t="n">
        <v>6</v>
      </c>
      <c r="H333" s="102" t="n">
        <v>6</v>
      </c>
      <c r="I333" s="190" t="n">
        <f aca="false">IFERROR(H333/G333,0)</f>
        <v>1</v>
      </c>
      <c r="J333" s="186" t="n">
        <f aca="false">IF(I333&gt;=0.95,5,IF(I333&gt;=0.8,4,IF(I333&gt;=0.65,3,IF(I333&gt;=0.5,2,1))))</f>
        <v>5</v>
      </c>
      <c r="K333" s="102" t="s">
        <v>601</v>
      </c>
    </row>
    <row r="334" customFormat="false" ht="15" hidden="false" customHeight="false" outlineLevel="0" collapsed="false">
      <c r="A334" s="106" t="s">
        <v>918</v>
      </c>
      <c r="B334" s="106" t="s">
        <v>523</v>
      </c>
      <c r="C334" s="179" t="s">
        <v>524</v>
      </c>
      <c r="D334" s="106" t="s">
        <v>12</v>
      </c>
      <c r="E334" s="179" t="s">
        <v>20</v>
      </c>
      <c r="F334" s="179" t="s">
        <v>577</v>
      </c>
      <c r="G334" s="106" t="n">
        <v>80</v>
      </c>
      <c r="H334" s="106" t="n">
        <v>32</v>
      </c>
      <c r="I334" s="191" t="n">
        <f aca="false">IFERROR(H334/G334,0)</f>
        <v>0.4</v>
      </c>
      <c r="J334" s="188" t="n">
        <f aca="false">IF(I334&gt;=0.95,5,IF(I334&gt;=0.8,4,IF(I334&gt;=0.65,3,IF(I334&gt;=0.5,2,1))))</f>
        <v>1</v>
      </c>
      <c r="K334" s="106" t="s">
        <v>581</v>
      </c>
    </row>
    <row r="335" customFormat="false" ht="15" hidden="false" customHeight="false" outlineLevel="0" collapsed="false">
      <c r="A335" s="102" t="s">
        <v>919</v>
      </c>
      <c r="B335" s="102" t="s">
        <v>523</v>
      </c>
      <c r="C335" s="177" t="s">
        <v>524</v>
      </c>
      <c r="D335" s="102" t="s">
        <v>12</v>
      </c>
      <c r="E335" s="177" t="s">
        <v>20</v>
      </c>
      <c r="F335" s="177" t="s">
        <v>598</v>
      </c>
      <c r="G335" s="102" t="n">
        <v>9</v>
      </c>
      <c r="H335" s="102" t="n">
        <v>6.3</v>
      </c>
      <c r="I335" s="190" t="n">
        <f aca="false">IFERROR(H335/G335,0)</f>
        <v>0.7</v>
      </c>
      <c r="J335" s="186" t="n">
        <f aca="false">IF(I335&gt;=0.95,5,IF(I335&gt;=0.8,4,IF(I335&gt;=0.65,3,IF(I335&gt;=0.5,2,1))))</f>
        <v>3</v>
      </c>
      <c r="K335" s="102" t="s">
        <v>578</v>
      </c>
    </row>
    <row r="336" customFormat="false" ht="15" hidden="false" customHeight="false" outlineLevel="0" collapsed="false">
      <c r="A336" s="106" t="s">
        <v>920</v>
      </c>
      <c r="B336" s="106" t="s">
        <v>523</v>
      </c>
      <c r="C336" s="179" t="s">
        <v>524</v>
      </c>
      <c r="D336" s="106" t="s">
        <v>12</v>
      </c>
      <c r="E336" s="179" t="s">
        <v>20</v>
      </c>
      <c r="F336" s="179" t="s">
        <v>595</v>
      </c>
      <c r="G336" s="106" t="n">
        <v>100</v>
      </c>
      <c r="H336" s="106" t="n">
        <v>70</v>
      </c>
      <c r="I336" s="191" t="n">
        <f aca="false">IFERROR(H336/G336,0)</f>
        <v>0.7</v>
      </c>
      <c r="J336" s="188" t="n">
        <f aca="false">IF(I336&gt;=0.95,5,IF(I336&gt;=0.8,4,IF(I336&gt;=0.65,3,IF(I336&gt;=0.5,2,1))))</f>
        <v>3</v>
      </c>
      <c r="K336" s="106" t="s">
        <v>578</v>
      </c>
    </row>
    <row r="337" customFormat="false" ht="15" hidden="false" customHeight="false" outlineLevel="0" collapsed="false">
      <c r="A337" s="102" t="s">
        <v>921</v>
      </c>
      <c r="B337" s="102" t="s">
        <v>156</v>
      </c>
      <c r="C337" s="177" t="s">
        <v>157</v>
      </c>
      <c r="D337" s="102" t="s">
        <v>12</v>
      </c>
      <c r="E337" s="177" t="s">
        <v>20</v>
      </c>
      <c r="F337" s="177" t="s">
        <v>580</v>
      </c>
      <c r="G337" s="102" t="n">
        <v>6</v>
      </c>
      <c r="H337" s="102" t="n">
        <v>4.8</v>
      </c>
      <c r="I337" s="190" t="n">
        <f aca="false">IFERROR(H337/G337,0)</f>
        <v>0.8</v>
      </c>
      <c r="J337" s="186" t="n">
        <f aca="false">IF(I337&gt;=0.95,5,IF(I337&gt;=0.8,4,IF(I337&gt;=0.65,3,IF(I337&gt;=0.5,2,1))))</f>
        <v>4</v>
      </c>
      <c r="K337" s="102" t="s">
        <v>578</v>
      </c>
    </row>
    <row r="338" customFormat="false" ht="15" hidden="false" customHeight="false" outlineLevel="0" collapsed="false">
      <c r="A338" s="106" t="s">
        <v>922</v>
      </c>
      <c r="B338" s="106" t="s">
        <v>156</v>
      </c>
      <c r="C338" s="179" t="s">
        <v>157</v>
      </c>
      <c r="D338" s="106" t="s">
        <v>12</v>
      </c>
      <c r="E338" s="179" t="s">
        <v>20</v>
      </c>
      <c r="F338" s="179" t="s">
        <v>583</v>
      </c>
      <c r="G338" s="106" t="n">
        <v>90</v>
      </c>
      <c r="H338" s="106" t="n">
        <v>72</v>
      </c>
      <c r="I338" s="191" t="n">
        <f aca="false">IFERROR(H338/G338,0)</f>
        <v>0.8</v>
      </c>
      <c r="J338" s="188" t="n">
        <f aca="false">IF(I338&gt;=0.95,5,IF(I338&gt;=0.8,4,IF(I338&gt;=0.65,3,IF(I338&gt;=0.5,2,1))))</f>
        <v>4</v>
      </c>
      <c r="K338" s="106" t="s">
        <v>578</v>
      </c>
    </row>
    <row r="339" customFormat="false" ht="15" hidden="false" customHeight="false" outlineLevel="0" collapsed="false">
      <c r="A339" s="102" t="s">
        <v>923</v>
      </c>
      <c r="B339" s="102" t="s">
        <v>156</v>
      </c>
      <c r="C339" s="177" t="s">
        <v>157</v>
      </c>
      <c r="D339" s="102" t="s">
        <v>12</v>
      </c>
      <c r="E339" s="177" t="s">
        <v>20</v>
      </c>
      <c r="F339" s="177" t="s">
        <v>598</v>
      </c>
      <c r="G339" s="102" t="n">
        <v>3</v>
      </c>
      <c r="H339" s="102" t="n">
        <v>1.2</v>
      </c>
      <c r="I339" s="190" t="n">
        <f aca="false">IFERROR(H339/G339,0)</f>
        <v>0.4</v>
      </c>
      <c r="J339" s="186" t="n">
        <f aca="false">IF(I339&gt;=0.95,5,IF(I339&gt;=0.8,4,IF(I339&gt;=0.65,3,IF(I339&gt;=0.5,2,1))))</f>
        <v>1</v>
      </c>
      <c r="K339" s="102" t="s">
        <v>581</v>
      </c>
    </row>
    <row r="340" customFormat="false" ht="15" hidden="false" customHeight="false" outlineLevel="0" collapsed="false">
      <c r="A340" s="106" t="s">
        <v>924</v>
      </c>
      <c r="B340" s="106" t="s">
        <v>525</v>
      </c>
      <c r="C340" s="179" t="s">
        <v>526</v>
      </c>
      <c r="D340" s="106" t="s">
        <v>12</v>
      </c>
      <c r="E340" s="179" t="s">
        <v>21</v>
      </c>
      <c r="F340" s="179" t="s">
        <v>595</v>
      </c>
      <c r="G340" s="106" t="n">
        <v>80</v>
      </c>
      <c r="H340" s="106" t="n">
        <v>72</v>
      </c>
      <c r="I340" s="191" t="n">
        <f aca="false">IFERROR(H340/G340,0)</f>
        <v>0.9</v>
      </c>
      <c r="J340" s="188" t="n">
        <f aca="false">IF(I340&gt;=0.95,5,IF(I340&gt;=0.8,4,IF(I340&gt;=0.65,3,IF(I340&gt;=0.5,2,1))))</f>
        <v>4</v>
      </c>
      <c r="K340" s="106" t="s">
        <v>578</v>
      </c>
    </row>
    <row r="341" customFormat="false" ht="15" hidden="false" customHeight="false" outlineLevel="0" collapsed="false">
      <c r="A341" s="102" t="s">
        <v>925</v>
      </c>
      <c r="B341" s="102" t="s">
        <v>525</v>
      </c>
      <c r="C341" s="177" t="s">
        <v>526</v>
      </c>
      <c r="D341" s="102" t="s">
        <v>12</v>
      </c>
      <c r="E341" s="177" t="s">
        <v>21</v>
      </c>
      <c r="F341" s="177" t="s">
        <v>580</v>
      </c>
      <c r="G341" s="102" t="n">
        <v>8</v>
      </c>
      <c r="H341" s="102" t="n">
        <v>7.2</v>
      </c>
      <c r="I341" s="190" t="n">
        <f aca="false">IFERROR(H341/G341,0)</f>
        <v>0.9</v>
      </c>
      <c r="J341" s="186" t="n">
        <f aca="false">IF(I341&gt;=0.95,5,IF(I341&gt;=0.8,4,IF(I341&gt;=0.65,3,IF(I341&gt;=0.5,2,1))))</f>
        <v>4</v>
      </c>
      <c r="K341" s="102" t="s">
        <v>578</v>
      </c>
    </row>
    <row r="342" customFormat="false" ht="15" hidden="false" customHeight="false" outlineLevel="0" collapsed="false">
      <c r="A342" s="106" t="s">
        <v>926</v>
      </c>
      <c r="B342" s="106" t="s">
        <v>525</v>
      </c>
      <c r="C342" s="179" t="s">
        <v>526</v>
      </c>
      <c r="D342" s="106" t="s">
        <v>12</v>
      </c>
      <c r="E342" s="179" t="s">
        <v>21</v>
      </c>
      <c r="F342" s="179" t="s">
        <v>583</v>
      </c>
      <c r="G342" s="106" t="n">
        <v>90</v>
      </c>
      <c r="H342" s="106" t="n">
        <v>54</v>
      </c>
      <c r="I342" s="191" t="n">
        <f aca="false">IFERROR(H342/G342,0)</f>
        <v>0.6</v>
      </c>
      <c r="J342" s="188" t="n">
        <f aca="false">IF(I342&gt;=0.95,5,IF(I342&gt;=0.8,4,IF(I342&gt;=0.65,3,IF(I342&gt;=0.5,2,1))))</f>
        <v>2</v>
      </c>
      <c r="K342" s="106" t="s">
        <v>581</v>
      </c>
    </row>
    <row r="343" customFormat="false" ht="15" hidden="false" customHeight="false" outlineLevel="0" collapsed="false">
      <c r="A343" s="102" t="s">
        <v>927</v>
      </c>
      <c r="B343" s="102" t="s">
        <v>527</v>
      </c>
      <c r="C343" s="177" t="s">
        <v>528</v>
      </c>
      <c r="D343" s="102" t="s">
        <v>12</v>
      </c>
      <c r="E343" s="177" t="s">
        <v>21</v>
      </c>
      <c r="F343" s="177" t="s">
        <v>588</v>
      </c>
      <c r="G343" s="102" t="n">
        <v>90</v>
      </c>
      <c r="H343" s="102" t="n">
        <v>63</v>
      </c>
      <c r="I343" s="190" t="n">
        <f aca="false">IFERROR(H343/G343,0)</f>
        <v>0.7</v>
      </c>
      <c r="J343" s="186" t="n">
        <f aca="false">IF(I343&gt;=0.95,5,IF(I343&gt;=0.8,4,IF(I343&gt;=0.65,3,IF(I343&gt;=0.5,2,1))))</f>
        <v>3</v>
      </c>
      <c r="K343" s="102" t="s">
        <v>578</v>
      </c>
    </row>
    <row r="344" customFormat="false" ht="15" hidden="false" customHeight="false" outlineLevel="0" collapsed="false">
      <c r="A344" s="106" t="s">
        <v>928</v>
      </c>
      <c r="B344" s="106" t="s">
        <v>527</v>
      </c>
      <c r="C344" s="179" t="s">
        <v>528</v>
      </c>
      <c r="D344" s="106" t="s">
        <v>12</v>
      </c>
      <c r="E344" s="179" t="s">
        <v>21</v>
      </c>
      <c r="F344" s="179" t="s">
        <v>598</v>
      </c>
      <c r="G344" s="106" t="n">
        <v>5</v>
      </c>
      <c r="H344" s="106" t="n">
        <v>5</v>
      </c>
      <c r="I344" s="191" t="n">
        <f aca="false">IFERROR(H344/G344,0)</f>
        <v>1</v>
      </c>
      <c r="J344" s="188" t="n">
        <f aca="false">IF(I344&gt;=0.95,5,IF(I344&gt;=0.8,4,IF(I344&gt;=0.65,3,IF(I344&gt;=0.5,2,1))))</f>
        <v>5</v>
      </c>
      <c r="K344" s="106" t="s">
        <v>601</v>
      </c>
    </row>
    <row r="345" customFormat="false" ht="15" hidden="false" customHeight="false" outlineLevel="0" collapsed="false">
      <c r="A345" s="102" t="s">
        <v>929</v>
      </c>
      <c r="B345" s="102" t="s">
        <v>527</v>
      </c>
      <c r="C345" s="177" t="s">
        <v>528</v>
      </c>
      <c r="D345" s="102" t="s">
        <v>12</v>
      </c>
      <c r="E345" s="177" t="s">
        <v>21</v>
      </c>
      <c r="F345" s="177" t="s">
        <v>592</v>
      </c>
      <c r="G345" s="102" t="n">
        <v>7</v>
      </c>
      <c r="H345" s="102" t="n">
        <v>5.6</v>
      </c>
      <c r="I345" s="190" t="n">
        <f aca="false">IFERROR(H345/G345,0)</f>
        <v>0.8</v>
      </c>
      <c r="J345" s="186" t="n">
        <f aca="false">IF(I345&gt;=0.95,5,IF(I345&gt;=0.8,4,IF(I345&gt;=0.65,3,IF(I345&gt;=0.5,2,1))))</f>
        <v>4</v>
      </c>
      <c r="K345" s="102" t="s">
        <v>578</v>
      </c>
    </row>
    <row r="346" customFormat="false" ht="15" hidden="false" customHeight="false" outlineLevel="0" collapsed="false">
      <c r="A346" s="106" t="s">
        <v>930</v>
      </c>
      <c r="B346" s="106" t="s">
        <v>529</v>
      </c>
      <c r="C346" s="179" t="s">
        <v>530</v>
      </c>
      <c r="D346" s="106" t="s">
        <v>12</v>
      </c>
      <c r="E346" s="179" t="s">
        <v>22</v>
      </c>
      <c r="F346" s="179" t="s">
        <v>603</v>
      </c>
      <c r="G346" s="106" t="n">
        <v>20</v>
      </c>
      <c r="H346" s="106" t="n">
        <v>16</v>
      </c>
      <c r="I346" s="191" t="n">
        <f aca="false">IFERROR(H346/G346,0)</f>
        <v>0.8</v>
      </c>
      <c r="J346" s="188" t="n">
        <f aca="false">IF(I346&gt;=0.95,5,IF(I346&gt;=0.8,4,IF(I346&gt;=0.65,3,IF(I346&gt;=0.5,2,1))))</f>
        <v>4</v>
      </c>
      <c r="K346" s="106" t="s">
        <v>578</v>
      </c>
    </row>
    <row r="347" customFormat="false" ht="15" hidden="false" customHeight="false" outlineLevel="0" collapsed="false">
      <c r="A347" s="102" t="s">
        <v>931</v>
      </c>
      <c r="B347" s="102" t="s">
        <v>529</v>
      </c>
      <c r="C347" s="177" t="s">
        <v>530</v>
      </c>
      <c r="D347" s="102" t="s">
        <v>12</v>
      </c>
      <c r="E347" s="177" t="s">
        <v>22</v>
      </c>
      <c r="F347" s="177" t="s">
        <v>586</v>
      </c>
      <c r="G347" s="102" t="n">
        <v>4</v>
      </c>
      <c r="H347" s="102" t="n">
        <v>3.2</v>
      </c>
      <c r="I347" s="190" t="n">
        <f aca="false">IFERROR(H347/G347,0)</f>
        <v>0.8</v>
      </c>
      <c r="J347" s="186" t="n">
        <f aca="false">IF(I347&gt;=0.95,5,IF(I347&gt;=0.8,4,IF(I347&gt;=0.65,3,IF(I347&gt;=0.5,2,1))))</f>
        <v>4</v>
      </c>
      <c r="K347" s="102" t="s">
        <v>578</v>
      </c>
    </row>
    <row r="348" customFormat="false" ht="15" hidden="false" customHeight="false" outlineLevel="0" collapsed="false">
      <c r="A348" s="106" t="s">
        <v>932</v>
      </c>
      <c r="B348" s="106" t="s">
        <v>531</v>
      </c>
      <c r="C348" s="179" t="s">
        <v>532</v>
      </c>
      <c r="D348" s="106" t="s">
        <v>12</v>
      </c>
      <c r="E348" s="179" t="s">
        <v>22</v>
      </c>
      <c r="F348" s="179" t="s">
        <v>595</v>
      </c>
      <c r="G348" s="106" t="n">
        <v>95</v>
      </c>
      <c r="H348" s="106" t="n">
        <v>47.5</v>
      </c>
      <c r="I348" s="191" t="n">
        <f aca="false">IFERROR(H348/G348,0)</f>
        <v>0.5</v>
      </c>
      <c r="J348" s="188" t="n">
        <f aca="false">IF(I348&gt;=0.95,5,IF(I348&gt;=0.8,4,IF(I348&gt;=0.65,3,IF(I348&gt;=0.5,2,1))))</f>
        <v>2</v>
      </c>
      <c r="K348" s="106" t="s">
        <v>581</v>
      </c>
    </row>
    <row r="349" customFormat="false" ht="15" hidden="false" customHeight="false" outlineLevel="0" collapsed="false">
      <c r="A349" s="102" t="s">
        <v>933</v>
      </c>
      <c r="B349" s="102" t="s">
        <v>531</v>
      </c>
      <c r="C349" s="177" t="s">
        <v>532</v>
      </c>
      <c r="D349" s="102" t="s">
        <v>12</v>
      </c>
      <c r="E349" s="177" t="s">
        <v>22</v>
      </c>
      <c r="F349" s="177" t="s">
        <v>577</v>
      </c>
      <c r="G349" s="102" t="n">
        <v>95</v>
      </c>
      <c r="H349" s="102" t="n">
        <v>85.5</v>
      </c>
      <c r="I349" s="190" t="n">
        <f aca="false">IFERROR(H349/G349,0)</f>
        <v>0.9</v>
      </c>
      <c r="J349" s="186" t="n">
        <f aca="false">IF(I349&gt;=0.95,5,IF(I349&gt;=0.8,4,IF(I349&gt;=0.65,3,IF(I349&gt;=0.5,2,1))))</f>
        <v>4</v>
      </c>
      <c r="K349" s="102" t="s">
        <v>578</v>
      </c>
    </row>
    <row r="350" customFormat="false" ht="15" hidden="false" customHeight="false" outlineLevel="0" collapsed="false">
      <c r="A350" s="106" t="s">
        <v>934</v>
      </c>
      <c r="B350" s="106" t="s">
        <v>533</v>
      </c>
      <c r="C350" s="179" t="s">
        <v>534</v>
      </c>
      <c r="D350" s="106" t="s">
        <v>12</v>
      </c>
      <c r="E350" s="179" t="s">
        <v>22</v>
      </c>
      <c r="F350" s="179" t="s">
        <v>592</v>
      </c>
      <c r="G350" s="106" t="n">
        <v>7</v>
      </c>
      <c r="H350" s="106" t="n">
        <v>4.9</v>
      </c>
      <c r="I350" s="191" t="n">
        <f aca="false">IFERROR(H350/G350,0)</f>
        <v>0.7</v>
      </c>
      <c r="J350" s="188" t="n">
        <f aca="false">IF(I350&gt;=0.95,5,IF(I350&gt;=0.8,4,IF(I350&gt;=0.65,3,IF(I350&gt;=0.5,2,1))))</f>
        <v>3</v>
      </c>
      <c r="K350" s="106" t="s">
        <v>578</v>
      </c>
    </row>
    <row r="351" customFormat="false" ht="15" hidden="false" customHeight="false" outlineLevel="0" collapsed="false">
      <c r="A351" s="102" t="s">
        <v>935</v>
      </c>
      <c r="B351" s="102" t="s">
        <v>533</v>
      </c>
      <c r="C351" s="177" t="s">
        <v>534</v>
      </c>
      <c r="D351" s="102" t="s">
        <v>12</v>
      </c>
      <c r="E351" s="177" t="s">
        <v>22</v>
      </c>
      <c r="F351" s="177" t="s">
        <v>580</v>
      </c>
      <c r="G351" s="102" t="n">
        <v>3</v>
      </c>
      <c r="H351" s="102" t="n">
        <v>2.1</v>
      </c>
      <c r="I351" s="190" t="n">
        <f aca="false">IFERROR(H351/G351,0)</f>
        <v>0.7</v>
      </c>
      <c r="J351" s="186" t="n">
        <f aca="false">IF(I351&gt;=0.95,5,IF(I351&gt;=0.8,4,IF(I351&gt;=0.65,3,IF(I351&gt;=0.5,2,1))))</f>
        <v>3</v>
      </c>
      <c r="K351" s="102" t="s">
        <v>578</v>
      </c>
    </row>
    <row r="352" customFormat="false" ht="15" hidden="false" customHeight="false" outlineLevel="0" collapsed="false">
      <c r="A352" s="106" t="s">
        <v>936</v>
      </c>
      <c r="B352" s="106" t="s">
        <v>533</v>
      </c>
      <c r="C352" s="179" t="s">
        <v>534</v>
      </c>
      <c r="D352" s="106" t="s">
        <v>12</v>
      </c>
      <c r="E352" s="179" t="s">
        <v>22</v>
      </c>
      <c r="F352" s="179" t="s">
        <v>583</v>
      </c>
      <c r="G352" s="106" t="n">
        <v>95</v>
      </c>
      <c r="H352" s="106" t="n">
        <v>85.5</v>
      </c>
      <c r="I352" s="191" t="n">
        <f aca="false">IFERROR(H352/G352,0)</f>
        <v>0.9</v>
      </c>
      <c r="J352" s="188" t="n">
        <f aca="false">IF(I352&gt;=0.95,5,IF(I352&gt;=0.8,4,IF(I352&gt;=0.65,3,IF(I352&gt;=0.5,2,1))))</f>
        <v>4</v>
      </c>
      <c r="K352" s="106" t="s">
        <v>578</v>
      </c>
    </row>
    <row r="353" customFormat="false" ht="15" hidden="false" customHeight="false" outlineLevel="0" collapsed="false">
      <c r="A353" s="102" t="s">
        <v>937</v>
      </c>
      <c r="B353" s="102" t="s">
        <v>535</v>
      </c>
      <c r="C353" s="177" t="s">
        <v>536</v>
      </c>
      <c r="D353" s="102" t="s">
        <v>12</v>
      </c>
      <c r="E353" s="177" t="s">
        <v>22</v>
      </c>
      <c r="F353" s="177" t="s">
        <v>598</v>
      </c>
      <c r="G353" s="102" t="n">
        <v>6</v>
      </c>
      <c r="H353" s="102" t="n">
        <v>5.4</v>
      </c>
      <c r="I353" s="190" t="n">
        <f aca="false">IFERROR(H353/G353,0)</f>
        <v>0.9</v>
      </c>
      <c r="J353" s="186" t="n">
        <f aca="false">IF(I353&gt;=0.95,5,IF(I353&gt;=0.8,4,IF(I353&gt;=0.65,3,IF(I353&gt;=0.5,2,1))))</f>
        <v>4</v>
      </c>
      <c r="K353" s="102" t="s">
        <v>578</v>
      </c>
    </row>
    <row r="354" customFormat="false" ht="15" hidden="false" customHeight="false" outlineLevel="0" collapsed="false">
      <c r="A354" s="106" t="s">
        <v>938</v>
      </c>
      <c r="B354" s="106" t="s">
        <v>535</v>
      </c>
      <c r="C354" s="179" t="s">
        <v>536</v>
      </c>
      <c r="D354" s="106" t="s">
        <v>12</v>
      </c>
      <c r="E354" s="179" t="s">
        <v>22</v>
      </c>
      <c r="F354" s="179" t="s">
        <v>580</v>
      </c>
      <c r="G354" s="106" t="n">
        <v>10</v>
      </c>
      <c r="H354" s="106" t="n">
        <v>9</v>
      </c>
      <c r="I354" s="191" t="n">
        <f aca="false">IFERROR(H354/G354,0)</f>
        <v>0.9</v>
      </c>
      <c r="J354" s="188" t="n">
        <f aca="false">IF(I354&gt;=0.95,5,IF(I354&gt;=0.8,4,IF(I354&gt;=0.65,3,IF(I354&gt;=0.5,2,1))))</f>
        <v>4</v>
      </c>
      <c r="K354" s="106" t="s">
        <v>578</v>
      </c>
    </row>
    <row r="355" customFormat="false" ht="15" hidden="false" customHeight="false" outlineLevel="0" collapsed="false">
      <c r="A355" s="102" t="s">
        <v>939</v>
      </c>
      <c r="B355" s="102" t="s">
        <v>535</v>
      </c>
      <c r="C355" s="177" t="s">
        <v>536</v>
      </c>
      <c r="D355" s="102" t="s">
        <v>12</v>
      </c>
      <c r="E355" s="177" t="s">
        <v>22</v>
      </c>
      <c r="F355" s="177" t="s">
        <v>592</v>
      </c>
      <c r="G355" s="102" t="n">
        <v>9</v>
      </c>
      <c r="H355" s="102" t="n">
        <v>6.3</v>
      </c>
      <c r="I355" s="190" t="n">
        <f aca="false">IFERROR(H355/G355,0)</f>
        <v>0.7</v>
      </c>
      <c r="J355" s="186" t="n">
        <f aca="false">IF(I355&gt;=0.95,5,IF(I355&gt;=0.8,4,IF(I355&gt;=0.65,3,IF(I355&gt;=0.5,2,1))))</f>
        <v>3</v>
      </c>
      <c r="K355" s="102" t="s">
        <v>578</v>
      </c>
    </row>
    <row r="356" customFormat="false" ht="15" hidden="false" customHeight="false" outlineLevel="0" collapsed="false">
      <c r="A356" s="106" t="s">
        <v>940</v>
      </c>
      <c r="B356" s="106" t="s">
        <v>535</v>
      </c>
      <c r="C356" s="179" t="s">
        <v>536</v>
      </c>
      <c r="D356" s="106" t="s">
        <v>12</v>
      </c>
      <c r="E356" s="179" t="s">
        <v>22</v>
      </c>
      <c r="F356" s="179" t="s">
        <v>590</v>
      </c>
      <c r="G356" s="106" t="n">
        <v>6</v>
      </c>
      <c r="H356" s="106" t="n">
        <v>4.2</v>
      </c>
      <c r="I356" s="191" t="n">
        <f aca="false">IFERROR(H356/G356,0)</f>
        <v>0.7</v>
      </c>
      <c r="J356" s="188" t="n">
        <f aca="false">IF(I356&gt;=0.95,5,IF(I356&gt;=0.8,4,IF(I356&gt;=0.65,3,IF(I356&gt;=0.5,2,1))))</f>
        <v>3</v>
      </c>
      <c r="K356" s="106" t="s">
        <v>578</v>
      </c>
    </row>
    <row r="357" customFormat="false" ht="15" hidden="false" customHeight="false" outlineLevel="0" collapsed="false">
      <c r="A357" s="102" t="s">
        <v>941</v>
      </c>
      <c r="B357" s="102" t="s">
        <v>537</v>
      </c>
      <c r="C357" s="177" t="s">
        <v>538</v>
      </c>
      <c r="D357" s="102" t="s">
        <v>12</v>
      </c>
      <c r="E357" s="177" t="s">
        <v>23</v>
      </c>
      <c r="F357" s="177" t="s">
        <v>577</v>
      </c>
      <c r="G357" s="102" t="n">
        <v>5</v>
      </c>
      <c r="H357" s="102" t="n">
        <v>5</v>
      </c>
      <c r="I357" s="190" t="n">
        <f aca="false">IFERROR(H357/G357,0)</f>
        <v>1</v>
      </c>
      <c r="J357" s="186" t="n">
        <f aca="false">IF(I357&gt;=0.95,5,IF(I357&gt;=0.8,4,IF(I357&gt;=0.65,3,IF(I357&gt;=0.5,2,1))))</f>
        <v>5</v>
      </c>
      <c r="K357" s="102" t="s">
        <v>601</v>
      </c>
    </row>
    <row r="358" customFormat="false" ht="15" hidden="false" customHeight="false" outlineLevel="0" collapsed="false">
      <c r="A358" s="106" t="s">
        <v>942</v>
      </c>
      <c r="B358" s="106" t="s">
        <v>537</v>
      </c>
      <c r="C358" s="179" t="s">
        <v>538</v>
      </c>
      <c r="D358" s="106" t="s">
        <v>12</v>
      </c>
      <c r="E358" s="179" t="s">
        <v>23</v>
      </c>
      <c r="F358" s="179" t="s">
        <v>590</v>
      </c>
      <c r="G358" s="106" t="n">
        <v>5</v>
      </c>
      <c r="H358" s="106" t="n">
        <v>4.5</v>
      </c>
      <c r="I358" s="191" t="n">
        <f aca="false">IFERROR(H358/G358,0)</f>
        <v>0.9</v>
      </c>
      <c r="J358" s="188" t="n">
        <f aca="false">IF(I358&gt;=0.95,5,IF(I358&gt;=0.8,4,IF(I358&gt;=0.65,3,IF(I358&gt;=0.5,2,1))))</f>
        <v>4</v>
      </c>
      <c r="K358" s="106" t="s">
        <v>578</v>
      </c>
    </row>
    <row r="359" customFormat="false" ht="15" hidden="false" customHeight="false" outlineLevel="0" collapsed="false">
      <c r="A359" s="102" t="s">
        <v>943</v>
      </c>
      <c r="B359" s="102" t="s">
        <v>537</v>
      </c>
      <c r="C359" s="177" t="s">
        <v>538</v>
      </c>
      <c r="D359" s="102" t="s">
        <v>12</v>
      </c>
      <c r="E359" s="177" t="s">
        <v>23</v>
      </c>
      <c r="F359" s="177" t="s">
        <v>592</v>
      </c>
      <c r="G359" s="102" t="n">
        <v>4</v>
      </c>
      <c r="H359" s="102" t="n">
        <v>2.8</v>
      </c>
      <c r="I359" s="190" t="n">
        <f aca="false">IFERROR(H359/G359,0)</f>
        <v>0.7</v>
      </c>
      <c r="J359" s="186" t="n">
        <f aca="false">IF(I359&gt;=0.95,5,IF(I359&gt;=0.8,4,IF(I359&gt;=0.65,3,IF(I359&gt;=0.5,2,1))))</f>
        <v>3</v>
      </c>
      <c r="K359" s="102" t="s">
        <v>578</v>
      </c>
    </row>
    <row r="360" customFormat="false" ht="15" hidden="false" customHeight="false" outlineLevel="0" collapsed="false">
      <c r="A360" s="106" t="s">
        <v>944</v>
      </c>
      <c r="B360" s="106" t="s">
        <v>537</v>
      </c>
      <c r="C360" s="179" t="s">
        <v>538</v>
      </c>
      <c r="D360" s="106" t="s">
        <v>12</v>
      </c>
      <c r="E360" s="179" t="s">
        <v>23</v>
      </c>
      <c r="F360" s="179" t="s">
        <v>583</v>
      </c>
      <c r="G360" s="106" t="n">
        <v>80</v>
      </c>
      <c r="H360" s="106" t="n">
        <v>48</v>
      </c>
      <c r="I360" s="191" t="n">
        <f aca="false">IFERROR(H360/G360,0)</f>
        <v>0.6</v>
      </c>
      <c r="J360" s="188" t="n">
        <f aca="false">IF(I360&gt;=0.95,5,IF(I360&gt;=0.8,4,IF(I360&gt;=0.65,3,IF(I360&gt;=0.5,2,1))))</f>
        <v>2</v>
      </c>
      <c r="K360" s="106" t="s">
        <v>581</v>
      </c>
    </row>
    <row r="361" customFormat="false" ht="15" hidden="false" customHeight="false" outlineLevel="0" collapsed="false">
      <c r="A361" s="102" t="s">
        <v>945</v>
      </c>
      <c r="B361" s="102" t="s">
        <v>539</v>
      </c>
      <c r="C361" s="177" t="s">
        <v>540</v>
      </c>
      <c r="D361" s="102" t="s">
        <v>12</v>
      </c>
      <c r="E361" s="177" t="s">
        <v>23</v>
      </c>
      <c r="F361" s="177" t="s">
        <v>577</v>
      </c>
      <c r="G361" s="102" t="n">
        <v>5</v>
      </c>
      <c r="H361" s="102" t="n">
        <v>4</v>
      </c>
      <c r="I361" s="190" t="n">
        <f aca="false">IFERROR(H361/G361,0)</f>
        <v>0.8</v>
      </c>
      <c r="J361" s="186" t="n">
        <f aca="false">IF(I361&gt;=0.95,5,IF(I361&gt;=0.8,4,IF(I361&gt;=0.65,3,IF(I361&gt;=0.5,2,1))))</f>
        <v>4</v>
      </c>
      <c r="K361" s="102" t="s">
        <v>578</v>
      </c>
    </row>
    <row r="362" customFormat="false" ht="15" hidden="false" customHeight="false" outlineLevel="0" collapsed="false">
      <c r="A362" s="106" t="s">
        <v>946</v>
      </c>
      <c r="B362" s="106" t="s">
        <v>539</v>
      </c>
      <c r="C362" s="179" t="s">
        <v>540</v>
      </c>
      <c r="D362" s="106" t="s">
        <v>12</v>
      </c>
      <c r="E362" s="179" t="s">
        <v>23</v>
      </c>
      <c r="F362" s="179" t="s">
        <v>595</v>
      </c>
      <c r="G362" s="106" t="n">
        <v>5</v>
      </c>
      <c r="H362" s="106" t="n">
        <v>4</v>
      </c>
      <c r="I362" s="191" t="n">
        <f aca="false">IFERROR(H362/G362,0)</f>
        <v>0.8</v>
      </c>
      <c r="J362" s="188" t="n">
        <f aca="false">IF(I362&gt;=0.95,5,IF(I362&gt;=0.8,4,IF(I362&gt;=0.65,3,IF(I362&gt;=0.5,2,1))))</f>
        <v>4</v>
      </c>
      <c r="K362" s="106" t="s">
        <v>578</v>
      </c>
    </row>
  </sheetData>
  <mergeCells count="2">
    <mergeCell ref="A1:K1"/>
    <mergeCell ref="A2:K2"/>
  </mergeCells>
  <conditionalFormatting sqref="I5:I362">
    <cfRule type="dataBar" priority="2">
      <dataBar showValue="1" minLength="10" maxLength="90">
        <cfvo type="min" val="0"/>
        <cfvo type="max" val="0"/>
        <color rgb="FF2EBFA5"/>
      </dataBar>
      <extLst>
        <ext xmlns:x14="http://schemas.microsoft.com/office/spreadsheetml/2009/9/main" uri="{B025F937-C7B1-47D3-B67F-A62EFF666E3E}">
          <x14:id>{3D8DF060-D9CD-4BA1-9570-6BB6636CDED1}</x14:id>
        </ext>
      </extLst>
    </cfRule>
  </conditionalFormatting>
  <conditionalFormatting sqref="J5:J362">
    <cfRule type="colorScale" priority="3">
      <colorScale>
        <cfvo type="num" val="1"/>
        <cfvo type="num" val="3"/>
        <cfvo type="num" val="5"/>
        <color rgb="FFFEE2E2"/>
        <color rgb="FFFEF3C7"/>
        <color rgb="FF86EFAC"/>
      </colorScale>
    </cfRule>
  </conditionalFormatting>
  <conditionalFormatting sqref="K5:K362">
    <cfRule type="expression" priority="4" aboveAverage="0" equalAverage="0" bottom="0" percent="0" rank="0" text="" dxfId="25">
      <formula>$K5="Completed"</formula>
    </cfRule>
    <cfRule type="expression" priority="5" aboveAverage="0" equalAverage="0" bottom="0" percent="0" rank="0" text="" dxfId="26">
      <formula>$K5="On Track"</formula>
    </cfRule>
    <cfRule type="expression" priority="6" aboveAverage="0" equalAverage="0" bottom="0" percent="0" rank="0" text="" dxfId="23">
      <formula>$K5="At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8DF060-D9CD-4BA1-9570-6BB6636CDED1}">
            <x14:dataBar minLength="10" maxLength="90" axisPosition="none" gradient="true">
              <x14:cfvo type="min"/>
              <x14:cfvo type="max"/>
              <x14:negativeFillColor rgb="FF2EBFA5"/>
              <x14:axisColor rgb="FF000000"/>
            </x14:dataBar>
          </x14:cfRule>
          <xm:sqref>I5:I362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tru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10" min="7" style="0" width="12"/>
    <col collapsed="false" customWidth="true" hidden="false" outlineLevel="0" max="11" min="11" style="0" width="11"/>
  </cols>
  <sheetData>
    <row r="1" customFormat="false" ht="27.75" hidden="false" customHeight="true" outlineLevel="0" collapsed="false">
      <c r="A1" s="174" t="s">
        <v>947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customFormat="false" ht="18" hidden="false" customHeight="true" outlineLevel="0" collapsed="false">
      <c r="A2" s="175" t="s">
        <v>948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</row>
    <row r="4" customFormat="false" ht="21.75" hidden="false" customHeight="true" outlineLevel="0" collapsed="false">
      <c r="A4" s="192" t="s">
        <v>949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customFormat="false" ht="27.75" hidden="false" customHeight="true" outlineLevel="0" collapsed="false">
      <c r="A5" s="193" t="s">
        <v>950</v>
      </c>
      <c r="B5" s="193" t="s">
        <v>189</v>
      </c>
      <c r="C5" s="193" t="s">
        <v>52</v>
      </c>
      <c r="D5" s="193" t="s">
        <v>543</v>
      </c>
      <c r="E5" s="193" t="s">
        <v>171</v>
      </c>
      <c r="F5" s="193" t="s">
        <v>169</v>
      </c>
      <c r="G5" s="193" t="s">
        <v>951</v>
      </c>
      <c r="H5" s="193" t="s">
        <v>168</v>
      </c>
      <c r="I5" s="193" t="s">
        <v>173</v>
      </c>
      <c r="J5" s="193" t="s">
        <v>174</v>
      </c>
      <c r="K5" s="193" t="s">
        <v>175</v>
      </c>
    </row>
    <row r="6" customFormat="false" ht="15" hidden="false" customHeight="false" outlineLevel="0" collapsed="false">
      <c r="A6" s="102" t="s">
        <v>952</v>
      </c>
      <c r="B6" s="177" t="s">
        <v>953</v>
      </c>
      <c r="C6" s="177" t="s">
        <v>15</v>
      </c>
      <c r="D6" s="102" t="s">
        <v>11</v>
      </c>
      <c r="E6" s="102" t="n">
        <v>3</v>
      </c>
      <c r="F6" s="186" t="s">
        <v>111</v>
      </c>
      <c r="G6" s="102" t="n">
        <v>18</v>
      </c>
      <c r="H6" s="102" t="n">
        <f aca="false">COUNTIFS($C$22:$C$92,"Senior Software Engineer",$F$22:$F$92,"Applied")</f>
        <v>4</v>
      </c>
      <c r="I6" s="102" t="n">
        <f aca="false">COUNTIFS($C$22:$C$92,"Senior Software Engineer",$F$22:$F$92,"Screened")</f>
        <v>0</v>
      </c>
      <c r="J6" s="102" t="n">
        <f aca="false">COUNTIFS($C$22:$C$92,"Senior Software Engineer",$F$22:$F$92,"Interviewed")</f>
        <v>1</v>
      </c>
      <c r="K6" s="102" t="n">
        <f aca="false">COUNTIFS($C$22:$C$92,"Senior Software Engineer",$F$22:$F$92,"Offered")</f>
        <v>1</v>
      </c>
    </row>
    <row r="7" customFormat="false" ht="15" hidden="false" customHeight="false" outlineLevel="0" collapsed="false">
      <c r="A7" s="106" t="s">
        <v>954</v>
      </c>
      <c r="B7" s="179" t="s">
        <v>398</v>
      </c>
      <c r="C7" s="179" t="s">
        <v>16</v>
      </c>
      <c r="D7" s="106" t="s">
        <v>11</v>
      </c>
      <c r="E7" s="106" t="n">
        <v>2</v>
      </c>
      <c r="F7" s="188" t="s">
        <v>111</v>
      </c>
      <c r="G7" s="106" t="n">
        <v>25</v>
      </c>
      <c r="H7" s="106" t="n">
        <f aca="false">COUNTIFS($C$22:$C$92,"Product Manager",$F$22:$F$92,"Applied")</f>
        <v>5</v>
      </c>
      <c r="I7" s="106" t="n">
        <f aca="false">COUNTIFS($C$22:$C$92,"Product Manager",$F$22:$F$92,"Screened")</f>
        <v>1</v>
      </c>
      <c r="J7" s="106" t="n">
        <f aca="false">COUNTIFS($C$22:$C$92,"Product Manager",$F$22:$F$92,"Interviewed")</f>
        <v>2</v>
      </c>
      <c r="K7" s="106" t="n">
        <f aca="false">COUNTIFS($C$22:$C$92,"Product Manager",$F$22:$F$92,"Offered")</f>
        <v>0</v>
      </c>
    </row>
    <row r="8" customFormat="false" ht="15" hidden="false" customHeight="false" outlineLevel="0" collapsed="false">
      <c r="A8" s="102" t="s">
        <v>955</v>
      </c>
      <c r="B8" s="177" t="s">
        <v>956</v>
      </c>
      <c r="C8" s="177" t="s">
        <v>15</v>
      </c>
      <c r="D8" s="102" t="s">
        <v>12</v>
      </c>
      <c r="E8" s="102" t="n">
        <v>1</v>
      </c>
      <c r="F8" s="186" t="s">
        <v>123</v>
      </c>
      <c r="G8" s="102" t="n">
        <v>32</v>
      </c>
      <c r="H8" s="102" t="n">
        <f aca="false">COUNTIFS($C$22:$C$92,"Data Scientist",$F$22:$F$92,"Applied")</f>
        <v>2</v>
      </c>
      <c r="I8" s="102" t="n">
        <f aca="false">COUNTIFS($C$22:$C$92,"Data Scientist",$F$22:$F$92,"Screened")</f>
        <v>1</v>
      </c>
      <c r="J8" s="102" t="n">
        <f aca="false">COUNTIFS($C$22:$C$92,"Data Scientist",$F$22:$F$92,"Interviewed")</f>
        <v>3</v>
      </c>
      <c r="K8" s="102" t="n">
        <f aca="false">COUNTIFS($C$22:$C$92,"Data Scientist",$F$22:$F$92,"Offered")</f>
        <v>1</v>
      </c>
    </row>
    <row r="9" customFormat="false" ht="15" hidden="false" customHeight="false" outlineLevel="0" collapsed="false">
      <c r="A9" s="106" t="s">
        <v>957</v>
      </c>
      <c r="B9" s="179" t="s">
        <v>958</v>
      </c>
      <c r="C9" s="179" t="s">
        <v>20</v>
      </c>
      <c r="D9" s="106" t="s">
        <v>11</v>
      </c>
      <c r="E9" s="106" t="n">
        <v>4</v>
      </c>
      <c r="F9" s="188" t="s">
        <v>111</v>
      </c>
      <c r="G9" s="106" t="n">
        <v>12</v>
      </c>
      <c r="H9" s="106" t="n">
        <f aca="false">COUNTIFS($C$22:$C$92,"Sales Executive",$F$22:$F$92,"Applied")</f>
        <v>3</v>
      </c>
      <c r="I9" s="106" t="n">
        <f aca="false">COUNTIFS($C$22:$C$92,"Sales Executive",$F$22:$F$92,"Screened")</f>
        <v>0</v>
      </c>
      <c r="J9" s="106" t="n">
        <f aca="false">COUNTIFS($C$22:$C$92,"Sales Executive",$F$22:$F$92,"Interviewed")</f>
        <v>3</v>
      </c>
      <c r="K9" s="106" t="n">
        <f aca="false">COUNTIFS($C$22:$C$92,"Sales Executive",$F$22:$F$92,"Offered")</f>
        <v>0</v>
      </c>
    </row>
    <row r="10" customFormat="false" ht="15" hidden="false" customHeight="false" outlineLevel="0" collapsed="false">
      <c r="A10" s="102" t="s">
        <v>959</v>
      </c>
      <c r="B10" s="177" t="s">
        <v>960</v>
      </c>
      <c r="C10" s="177" t="s">
        <v>21</v>
      </c>
      <c r="D10" s="102" t="s">
        <v>12</v>
      </c>
      <c r="E10" s="102" t="n">
        <v>1</v>
      </c>
      <c r="F10" s="186" t="s">
        <v>123</v>
      </c>
      <c r="G10" s="102" t="n">
        <v>45</v>
      </c>
      <c r="H10" s="102" t="n">
        <f aca="false">COUNTIFS($C$22:$C$92,"Marketing Lead",$F$22:$F$92,"Applied")</f>
        <v>2</v>
      </c>
      <c r="I10" s="102" t="n">
        <f aca="false">COUNTIFS($C$22:$C$92,"Marketing Lead",$F$22:$F$92,"Screened")</f>
        <v>2</v>
      </c>
      <c r="J10" s="102" t="n">
        <f aca="false">COUNTIFS($C$22:$C$92,"Marketing Lead",$F$22:$F$92,"Interviewed")</f>
        <v>0</v>
      </c>
      <c r="K10" s="102" t="n">
        <f aca="false">COUNTIFS($C$22:$C$92,"Marketing Lead",$F$22:$F$92,"Offered")</f>
        <v>0</v>
      </c>
    </row>
    <row r="11" customFormat="false" ht="15" hidden="false" customHeight="false" outlineLevel="0" collapsed="false">
      <c r="A11" s="106" t="s">
        <v>961</v>
      </c>
      <c r="B11" s="179" t="s">
        <v>357</v>
      </c>
      <c r="C11" s="179" t="s">
        <v>22</v>
      </c>
      <c r="D11" s="106" t="s">
        <v>11</v>
      </c>
      <c r="E11" s="106" t="n">
        <v>1</v>
      </c>
      <c r="F11" s="188" t="s">
        <v>176</v>
      </c>
      <c r="G11" s="106" t="n">
        <v>60</v>
      </c>
      <c r="H11" s="106" t="n">
        <f aca="false">COUNTIFS($C$22:$C$92,"HR Business Partner",$F$22:$F$92,"Applied")</f>
        <v>0</v>
      </c>
      <c r="I11" s="106" t="n">
        <f aca="false">COUNTIFS($C$22:$C$92,"HR Business Partner",$F$22:$F$92,"Screened")</f>
        <v>0</v>
      </c>
      <c r="J11" s="106" t="n">
        <f aca="false">COUNTIFS($C$22:$C$92,"HR Business Partner",$F$22:$F$92,"Interviewed")</f>
        <v>1</v>
      </c>
      <c r="K11" s="106" t="n">
        <f aca="false">COUNTIFS($C$22:$C$92,"HR Business Partner",$F$22:$F$92,"Offered")</f>
        <v>2</v>
      </c>
    </row>
    <row r="12" customFormat="false" ht="15" hidden="false" customHeight="false" outlineLevel="0" collapsed="false">
      <c r="A12" s="102" t="s">
        <v>962</v>
      </c>
      <c r="B12" s="177" t="s">
        <v>963</v>
      </c>
      <c r="C12" s="177" t="s">
        <v>25</v>
      </c>
      <c r="D12" s="102" t="s">
        <v>11</v>
      </c>
      <c r="E12" s="102" t="n">
        <v>2</v>
      </c>
      <c r="F12" s="186" t="s">
        <v>123</v>
      </c>
      <c r="G12" s="102" t="n">
        <v>22</v>
      </c>
      <c r="H12" s="102" t="n">
        <f aca="false">COUNTIFS($C$22:$C$92,"Customer Success Manager",$F$22:$F$92,"Applied")</f>
        <v>2</v>
      </c>
      <c r="I12" s="102" t="n">
        <f aca="false">COUNTIFS($C$22:$C$92,"Customer Success Manager",$F$22:$F$92,"Screened")</f>
        <v>2</v>
      </c>
      <c r="J12" s="102" t="n">
        <f aca="false">COUNTIFS($C$22:$C$92,"Customer Success Manager",$F$22:$F$92,"Interviewed")</f>
        <v>0</v>
      </c>
      <c r="K12" s="102" t="n">
        <f aca="false">COUNTIFS($C$22:$C$92,"Customer Success Manager",$F$22:$F$92,"Offered")</f>
        <v>0</v>
      </c>
    </row>
    <row r="13" customFormat="false" ht="15" hidden="false" customHeight="false" outlineLevel="0" collapsed="false">
      <c r="A13" s="106" t="s">
        <v>964</v>
      </c>
      <c r="B13" s="179" t="s">
        <v>965</v>
      </c>
      <c r="C13" s="179" t="s">
        <v>15</v>
      </c>
      <c r="D13" s="106" t="s">
        <v>12</v>
      </c>
      <c r="E13" s="106" t="n">
        <v>1</v>
      </c>
      <c r="F13" s="188" t="s">
        <v>111</v>
      </c>
      <c r="G13" s="106" t="n">
        <v>8</v>
      </c>
      <c r="H13" s="106" t="n">
        <f aca="false">COUNTIFS($C$22:$C$92,"DevOps Engineer",$F$22:$F$92,"Applied")</f>
        <v>0</v>
      </c>
      <c r="I13" s="106" t="n">
        <f aca="false">COUNTIFS($C$22:$C$92,"DevOps Engineer",$F$22:$F$92,"Screened")</f>
        <v>3</v>
      </c>
      <c r="J13" s="106" t="n">
        <f aca="false">COUNTIFS($C$22:$C$92,"DevOps Engineer",$F$22:$F$92,"Interviewed")</f>
        <v>2</v>
      </c>
      <c r="K13" s="106" t="n">
        <f aca="false">COUNTIFS($C$22:$C$92,"DevOps Engineer",$F$22:$F$92,"Offered")</f>
        <v>1</v>
      </c>
    </row>
    <row r="14" customFormat="false" ht="15" hidden="false" customHeight="false" outlineLevel="0" collapsed="false">
      <c r="A14" s="102" t="s">
        <v>966</v>
      </c>
      <c r="B14" s="177" t="s">
        <v>967</v>
      </c>
      <c r="C14" s="177" t="s">
        <v>23</v>
      </c>
      <c r="D14" s="102" t="s">
        <v>11</v>
      </c>
      <c r="E14" s="102" t="n">
        <v>1</v>
      </c>
      <c r="F14" s="186" t="s">
        <v>176</v>
      </c>
      <c r="G14" s="102" t="n">
        <v>38</v>
      </c>
      <c r="H14" s="102" t="n">
        <f aca="false">COUNTIFS($C$22:$C$92,"Financial Analyst",$F$22:$F$92,"Applied")</f>
        <v>2</v>
      </c>
      <c r="I14" s="102" t="n">
        <f aca="false">COUNTIFS($C$22:$C$92,"Financial Analyst",$F$22:$F$92,"Screened")</f>
        <v>1</v>
      </c>
      <c r="J14" s="102" t="n">
        <f aca="false">COUNTIFS($C$22:$C$92,"Financial Analyst",$F$22:$F$92,"Interviewed")</f>
        <v>0</v>
      </c>
      <c r="K14" s="102" t="n">
        <f aca="false">COUNTIFS($C$22:$C$92,"Financial Analyst",$F$22:$F$92,"Offered")</f>
        <v>0</v>
      </c>
    </row>
    <row r="15" customFormat="false" ht="15" hidden="false" customHeight="false" outlineLevel="0" collapsed="false">
      <c r="A15" s="106" t="s">
        <v>968</v>
      </c>
      <c r="B15" s="179" t="s">
        <v>969</v>
      </c>
      <c r="C15" s="179" t="s">
        <v>24</v>
      </c>
      <c r="D15" s="106" t="s">
        <v>11</v>
      </c>
      <c r="E15" s="106" t="n">
        <v>1</v>
      </c>
      <c r="F15" s="188" t="s">
        <v>123</v>
      </c>
      <c r="G15" s="106" t="n">
        <v>27</v>
      </c>
      <c r="H15" s="106" t="n">
        <f aca="false">COUNTIFS($C$22:$C$92,"Operations Manager",$F$22:$F$92,"Applied")</f>
        <v>1</v>
      </c>
      <c r="I15" s="106" t="n">
        <f aca="false">COUNTIFS($C$22:$C$92,"Operations Manager",$F$22:$F$92,"Screened")</f>
        <v>1</v>
      </c>
      <c r="J15" s="106" t="n">
        <f aca="false">COUNTIFS($C$22:$C$92,"Operations Manager",$F$22:$F$92,"Interviewed")</f>
        <v>1</v>
      </c>
      <c r="K15" s="106" t="n">
        <f aca="false">COUNTIFS($C$22:$C$92,"Operations Manager",$F$22:$F$92,"Offered")</f>
        <v>2</v>
      </c>
    </row>
    <row r="16" customFormat="false" ht="15" hidden="false" customHeight="false" outlineLevel="0" collapsed="false">
      <c r="A16" s="102" t="s">
        <v>970</v>
      </c>
      <c r="B16" s="177" t="s">
        <v>971</v>
      </c>
      <c r="C16" s="177" t="s">
        <v>16</v>
      </c>
      <c r="D16" s="102" t="s">
        <v>12</v>
      </c>
      <c r="E16" s="102" t="n">
        <v>1</v>
      </c>
      <c r="F16" s="186" t="s">
        <v>123</v>
      </c>
      <c r="G16" s="102" t="n">
        <v>15</v>
      </c>
      <c r="H16" s="102" t="n">
        <f aca="false">COUNTIFS($C$22:$C$92,"UX Designer",$F$22:$F$92,"Applied")</f>
        <v>6</v>
      </c>
      <c r="I16" s="102" t="n">
        <f aca="false">COUNTIFS($C$22:$C$92,"UX Designer",$F$22:$F$92,"Screened")</f>
        <v>1</v>
      </c>
      <c r="J16" s="102" t="n">
        <f aca="false">COUNTIFS($C$22:$C$92,"UX Designer",$F$22:$F$92,"Interviewed")</f>
        <v>0</v>
      </c>
      <c r="K16" s="102" t="n">
        <f aca="false">COUNTIFS($C$22:$C$92,"UX Designer",$F$22:$F$92,"Offered")</f>
        <v>0</v>
      </c>
    </row>
    <row r="17" customFormat="false" ht="15" hidden="false" customHeight="false" outlineLevel="0" collapsed="false">
      <c r="A17" s="106" t="s">
        <v>972</v>
      </c>
      <c r="B17" s="179" t="s">
        <v>973</v>
      </c>
      <c r="C17" s="179" t="s">
        <v>15</v>
      </c>
      <c r="D17" s="106" t="s">
        <v>11</v>
      </c>
      <c r="E17" s="106" t="n">
        <v>2</v>
      </c>
      <c r="F17" s="188" t="s">
        <v>111</v>
      </c>
      <c r="G17" s="106" t="n">
        <v>10</v>
      </c>
      <c r="H17" s="106" t="n">
        <f aca="false">COUNTIFS($C$22:$C$92,"QA Engineer",$F$22:$F$92,"Applied")</f>
        <v>4</v>
      </c>
      <c r="I17" s="106" t="n">
        <f aca="false">COUNTIFS($C$22:$C$92,"QA Engineer",$F$22:$F$92,"Screened")</f>
        <v>0</v>
      </c>
      <c r="J17" s="106" t="n">
        <f aca="false">COUNTIFS($C$22:$C$92,"QA Engineer",$F$22:$F$92,"Interviewed")</f>
        <v>2</v>
      </c>
      <c r="K17" s="106" t="n">
        <f aca="false">COUNTIFS($C$22:$C$92,"QA Engineer",$F$22:$F$92,"Offered")</f>
        <v>1</v>
      </c>
    </row>
    <row r="20" customFormat="false" ht="21.75" hidden="false" customHeight="true" outlineLevel="0" collapsed="false">
      <c r="A20" s="192" t="s">
        <v>166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</row>
    <row r="21" customFormat="false" ht="27.75" hidden="false" customHeight="true" outlineLevel="0" collapsed="false">
      <c r="A21" s="193" t="s">
        <v>974</v>
      </c>
      <c r="B21" s="193" t="s">
        <v>51</v>
      </c>
      <c r="C21" s="193" t="s">
        <v>975</v>
      </c>
      <c r="D21" s="193" t="s">
        <v>52</v>
      </c>
      <c r="E21" s="193" t="s">
        <v>543</v>
      </c>
      <c r="F21" s="193" t="s">
        <v>976</v>
      </c>
      <c r="G21" s="193" t="s">
        <v>977</v>
      </c>
      <c r="H21" s="193" t="s">
        <v>978</v>
      </c>
      <c r="I21" s="193" t="s">
        <v>575</v>
      </c>
      <c r="J21" s="193"/>
      <c r="K21" s="193"/>
    </row>
    <row r="22" customFormat="false" ht="15" hidden="false" customHeight="false" outlineLevel="0" collapsed="false">
      <c r="A22" s="102" t="s">
        <v>979</v>
      </c>
      <c r="B22" s="177" t="s">
        <v>980</v>
      </c>
      <c r="C22" s="177" t="s">
        <v>953</v>
      </c>
      <c r="D22" s="102" t="s">
        <v>15</v>
      </c>
      <c r="E22" s="102" t="s">
        <v>11</v>
      </c>
      <c r="F22" s="186" t="s">
        <v>168</v>
      </c>
      <c r="G22" s="102" t="n">
        <v>2</v>
      </c>
      <c r="H22" s="102" t="s">
        <v>981</v>
      </c>
      <c r="I22" s="102"/>
      <c r="J22" s="102"/>
      <c r="K22" s="102"/>
    </row>
    <row r="23" customFormat="false" ht="15" hidden="false" customHeight="false" outlineLevel="0" collapsed="false">
      <c r="A23" s="106" t="s">
        <v>982</v>
      </c>
      <c r="B23" s="179" t="s">
        <v>983</v>
      </c>
      <c r="C23" s="179" t="s">
        <v>953</v>
      </c>
      <c r="D23" s="106" t="s">
        <v>15</v>
      </c>
      <c r="E23" s="106" t="s">
        <v>11</v>
      </c>
      <c r="F23" s="188" t="s">
        <v>168</v>
      </c>
      <c r="G23" s="106" t="n">
        <v>13</v>
      </c>
      <c r="H23" s="106" t="s">
        <v>981</v>
      </c>
      <c r="I23" s="106"/>
      <c r="J23" s="106"/>
      <c r="K23" s="106"/>
    </row>
    <row r="24" customFormat="false" ht="15" hidden="false" customHeight="false" outlineLevel="0" collapsed="false">
      <c r="A24" s="102" t="s">
        <v>984</v>
      </c>
      <c r="B24" s="177" t="s">
        <v>985</v>
      </c>
      <c r="C24" s="177" t="s">
        <v>953</v>
      </c>
      <c r="D24" s="102" t="s">
        <v>15</v>
      </c>
      <c r="E24" s="102" t="s">
        <v>11</v>
      </c>
      <c r="F24" s="186" t="s">
        <v>177</v>
      </c>
      <c r="G24" s="102" t="n">
        <v>4</v>
      </c>
      <c r="H24" s="102" t="s">
        <v>986</v>
      </c>
      <c r="I24" s="102" t="n">
        <v>3</v>
      </c>
      <c r="J24" s="102"/>
      <c r="K24" s="102"/>
    </row>
    <row r="25" customFormat="false" ht="15" hidden="false" customHeight="false" outlineLevel="0" collapsed="false">
      <c r="A25" s="106" t="s">
        <v>987</v>
      </c>
      <c r="B25" s="179" t="s">
        <v>988</v>
      </c>
      <c r="C25" s="179" t="s">
        <v>953</v>
      </c>
      <c r="D25" s="106" t="s">
        <v>15</v>
      </c>
      <c r="E25" s="106" t="s">
        <v>11</v>
      </c>
      <c r="F25" s="188" t="s">
        <v>168</v>
      </c>
      <c r="G25" s="106" t="n">
        <v>6</v>
      </c>
      <c r="H25" s="106" t="s">
        <v>981</v>
      </c>
      <c r="I25" s="106"/>
      <c r="J25" s="106"/>
      <c r="K25" s="106"/>
    </row>
    <row r="26" customFormat="false" ht="15" hidden="false" customHeight="false" outlineLevel="0" collapsed="false">
      <c r="A26" s="102" t="s">
        <v>989</v>
      </c>
      <c r="B26" s="177" t="s">
        <v>990</v>
      </c>
      <c r="C26" s="177" t="s">
        <v>953</v>
      </c>
      <c r="D26" s="102" t="s">
        <v>15</v>
      </c>
      <c r="E26" s="102" t="s">
        <v>11</v>
      </c>
      <c r="F26" s="186" t="s">
        <v>177</v>
      </c>
      <c r="G26" s="102" t="n">
        <v>14</v>
      </c>
      <c r="H26" s="102" t="s">
        <v>986</v>
      </c>
      <c r="I26" s="102" t="n">
        <v>4</v>
      </c>
      <c r="J26" s="102"/>
      <c r="K26" s="102"/>
    </row>
    <row r="27" customFormat="false" ht="15" hidden="false" customHeight="false" outlineLevel="0" collapsed="false">
      <c r="A27" s="106" t="s">
        <v>991</v>
      </c>
      <c r="B27" s="179" t="s">
        <v>992</v>
      </c>
      <c r="C27" s="179" t="s">
        <v>953</v>
      </c>
      <c r="D27" s="106" t="s">
        <v>15</v>
      </c>
      <c r="E27" s="106" t="s">
        <v>11</v>
      </c>
      <c r="F27" s="188" t="s">
        <v>174</v>
      </c>
      <c r="G27" s="106" t="n">
        <v>23</v>
      </c>
      <c r="H27" s="106" t="s">
        <v>993</v>
      </c>
      <c r="I27" s="106" t="n">
        <v>3</v>
      </c>
      <c r="J27" s="106"/>
      <c r="K27" s="106"/>
    </row>
    <row r="28" customFormat="false" ht="15" hidden="false" customHeight="false" outlineLevel="0" collapsed="false">
      <c r="A28" s="102" t="s">
        <v>994</v>
      </c>
      <c r="B28" s="177" t="s">
        <v>995</v>
      </c>
      <c r="C28" s="177" t="s">
        <v>953</v>
      </c>
      <c r="D28" s="102" t="s">
        <v>15</v>
      </c>
      <c r="E28" s="102" t="s">
        <v>11</v>
      </c>
      <c r="F28" s="186" t="s">
        <v>168</v>
      </c>
      <c r="G28" s="102" t="n">
        <v>19</v>
      </c>
      <c r="H28" s="102" t="s">
        <v>986</v>
      </c>
      <c r="I28" s="102"/>
      <c r="J28" s="102"/>
      <c r="K28" s="102"/>
    </row>
    <row r="29" customFormat="false" ht="15" hidden="false" customHeight="false" outlineLevel="0" collapsed="false">
      <c r="A29" s="106" t="s">
        <v>996</v>
      </c>
      <c r="B29" s="179" t="s">
        <v>997</v>
      </c>
      <c r="C29" s="179" t="s">
        <v>953</v>
      </c>
      <c r="D29" s="106" t="s">
        <v>15</v>
      </c>
      <c r="E29" s="106" t="s">
        <v>11</v>
      </c>
      <c r="F29" s="188" t="s">
        <v>175</v>
      </c>
      <c r="G29" s="106" t="n">
        <v>2</v>
      </c>
      <c r="H29" s="106" t="s">
        <v>998</v>
      </c>
      <c r="I29" s="106" t="n">
        <v>4</v>
      </c>
      <c r="J29" s="106"/>
      <c r="K29" s="106"/>
    </row>
    <row r="30" customFormat="false" ht="15" hidden="false" customHeight="false" outlineLevel="0" collapsed="false">
      <c r="A30" s="102" t="s">
        <v>999</v>
      </c>
      <c r="B30" s="177" t="s">
        <v>1000</v>
      </c>
      <c r="C30" s="177" t="s">
        <v>398</v>
      </c>
      <c r="D30" s="102" t="s">
        <v>16</v>
      </c>
      <c r="E30" s="102" t="s">
        <v>11</v>
      </c>
      <c r="F30" s="186" t="s">
        <v>174</v>
      </c>
      <c r="G30" s="102" t="n">
        <v>9</v>
      </c>
      <c r="H30" s="102" t="s">
        <v>986</v>
      </c>
      <c r="I30" s="102" t="n">
        <v>4</v>
      </c>
      <c r="J30" s="102"/>
      <c r="K30" s="102"/>
    </row>
    <row r="31" customFormat="false" ht="15" hidden="false" customHeight="false" outlineLevel="0" collapsed="false">
      <c r="A31" s="106" t="s">
        <v>1001</v>
      </c>
      <c r="B31" s="179" t="s">
        <v>1002</v>
      </c>
      <c r="C31" s="179" t="s">
        <v>398</v>
      </c>
      <c r="D31" s="106" t="s">
        <v>16</v>
      </c>
      <c r="E31" s="106" t="s">
        <v>11</v>
      </c>
      <c r="F31" s="188" t="s">
        <v>168</v>
      </c>
      <c r="G31" s="106" t="n">
        <v>25</v>
      </c>
      <c r="H31" s="106" t="s">
        <v>1003</v>
      </c>
      <c r="I31" s="106"/>
      <c r="J31" s="106"/>
      <c r="K31" s="106"/>
    </row>
    <row r="32" customFormat="false" ht="15" hidden="false" customHeight="false" outlineLevel="0" collapsed="false">
      <c r="A32" s="102" t="s">
        <v>1004</v>
      </c>
      <c r="B32" s="177" t="s">
        <v>1005</v>
      </c>
      <c r="C32" s="177" t="s">
        <v>398</v>
      </c>
      <c r="D32" s="102" t="s">
        <v>16</v>
      </c>
      <c r="E32" s="102" t="s">
        <v>11</v>
      </c>
      <c r="F32" s="186" t="s">
        <v>173</v>
      </c>
      <c r="G32" s="102" t="n">
        <v>2</v>
      </c>
      <c r="H32" s="102" t="s">
        <v>1006</v>
      </c>
      <c r="I32" s="102"/>
      <c r="J32" s="102"/>
      <c r="K32" s="102"/>
    </row>
    <row r="33" customFormat="false" ht="15" hidden="false" customHeight="false" outlineLevel="0" collapsed="false">
      <c r="A33" s="106" t="s">
        <v>1007</v>
      </c>
      <c r="B33" s="179" t="s">
        <v>983</v>
      </c>
      <c r="C33" s="179" t="s">
        <v>398</v>
      </c>
      <c r="D33" s="106" t="s">
        <v>16</v>
      </c>
      <c r="E33" s="106" t="s">
        <v>11</v>
      </c>
      <c r="F33" s="188" t="s">
        <v>168</v>
      </c>
      <c r="G33" s="106" t="n">
        <v>3</v>
      </c>
      <c r="H33" s="106" t="s">
        <v>986</v>
      </c>
      <c r="I33" s="106"/>
      <c r="J33" s="106"/>
      <c r="K33" s="106"/>
    </row>
    <row r="34" customFormat="false" ht="15" hidden="false" customHeight="false" outlineLevel="0" collapsed="false">
      <c r="A34" s="102" t="s">
        <v>1008</v>
      </c>
      <c r="B34" s="177" t="s">
        <v>1009</v>
      </c>
      <c r="C34" s="177" t="s">
        <v>398</v>
      </c>
      <c r="D34" s="102" t="s">
        <v>16</v>
      </c>
      <c r="E34" s="102" t="s">
        <v>11</v>
      </c>
      <c r="F34" s="186" t="s">
        <v>174</v>
      </c>
      <c r="G34" s="102" t="n">
        <v>14</v>
      </c>
      <c r="H34" s="102" t="s">
        <v>986</v>
      </c>
      <c r="I34" s="102" t="n">
        <v>3</v>
      </c>
      <c r="J34" s="102"/>
      <c r="K34" s="102"/>
    </row>
    <row r="35" customFormat="false" ht="15" hidden="false" customHeight="false" outlineLevel="0" collapsed="false">
      <c r="A35" s="106" t="s">
        <v>1010</v>
      </c>
      <c r="B35" s="179" t="s">
        <v>1011</v>
      </c>
      <c r="C35" s="179" t="s">
        <v>398</v>
      </c>
      <c r="D35" s="106" t="s">
        <v>16</v>
      </c>
      <c r="E35" s="106" t="s">
        <v>11</v>
      </c>
      <c r="F35" s="188" t="s">
        <v>168</v>
      </c>
      <c r="G35" s="106" t="n">
        <v>11</v>
      </c>
      <c r="H35" s="106" t="s">
        <v>1006</v>
      </c>
      <c r="I35" s="106"/>
      <c r="J35" s="106"/>
      <c r="K35" s="106"/>
    </row>
    <row r="36" customFormat="false" ht="15" hidden="false" customHeight="false" outlineLevel="0" collapsed="false">
      <c r="A36" s="102" t="s">
        <v>1012</v>
      </c>
      <c r="B36" s="177" t="s">
        <v>1013</v>
      </c>
      <c r="C36" s="177" t="s">
        <v>398</v>
      </c>
      <c r="D36" s="102" t="s">
        <v>16</v>
      </c>
      <c r="E36" s="102" t="s">
        <v>11</v>
      </c>
      <c r="F36" s="186" t="s">
        <v>168</v>
      </c>
      <c r="G36" s="102" t="n">
        <v>6</v>
      </c>
      <c r="H36" s="102" t="s">
        <v>981</v>
      </c>
      <c r="I36" s="102"/>
      <c r="J36" s="102"/>
      <c r="K36" s="102"/>
    </row>
    <row r="37" customFormat="false" ht="15" hidden="false" customHeight="false" outlineLevel="0" collapsed="false">
      <c r="A37" s="106" t="s">
        <v>1014</v>
      </c>
      <c r="B37" s="179" t="s">
        <v>1015</v>
      </c>
      <c r="C37" s="179" t="s">
        <v>398</v>
      </c>
      <c r="D37" s="106" t="s">
        <v>16</v>
      </c>
      <c r="E37" s="106" t="s">
        <v>11</v>
      </c>
      <c r="F37" s="188" t="s">
        <v>168</v>
      </c>
      <c r="G37" s="106" t="n">
        <v>3</v>
      </c>
      <c r="H37" s="106" t="s">
        <v>993</v>
      </c>
      <c r="I37" s="106"/>
      <c r="J37" s="106"/>
      <c r="K37" s="106"/>
    </row>
    <row r="38" customFormat="false" ht="15" hidden="false" customHeight="false" outlineLevel="0" collapsed="false">
      <c r="A38" s="102" t="s">
        <v>1016</v>
      </c>
      <c r="B38" s="177" t="s">
        <v>1017</v>
      </c>
      <c r="C38" s="177" t="s">
        <v>956</v>
      </c>
      <c r="D38" s="102" t="s">
        <v>15</v>
      </c>
      <c r="E38" s="102" t="s">
        <v>12</v>
      </c>
      <c r="F38" s="186" t="s">
        <v>173</v>
      </c>
      <c r="G38" s="102" t="n">
        <v>3</v>
      </c>
      <c r="H38" s="102" t="s">
        <v>998</v>
      </c>
      <c r="I38" s="102"/>
      <c r="J38" s="102"/>
      <c r="K38" s="102"/>
    </row>
    <row r="39" customFormat="false" ht="15" hidden="false" customHeight="false" outlineLevel="0" collapsed="false">
      <c r="A39" s="106" t="s">
        <v>1018</v>
      </c>
      <c r="B39" s="179" t="s">
        <v>1019</v>
      </c>
      <c r="C39" s="179" t="s">
        <v>956</v>
      </c>
      <c r="D39" s="106" t="s">
        <v>15</v>
      </c>
      <c r="E39" s="106" t="s">
        <v>12</v>
      </c>
      <c r="F39" s="188" t="s">
        <v>174</v>
      </c>
      <c r="G39" s="106" t="n">
        <v>15</v>
      </c>
      <c r="H39" s="106" t="s">
        <v>1006</v>
      </c>
      <c r="I39" s="106" t="n">
        <v>4</v>
      </c>
      <c r="J39" s="106"/>
      <c r="K39" s="106"/>
    </row>
    <row r="40" customFormat="false" ht="15" hidden="false" customHeight="false" outlineLevel="0" collapsed="false">
      <c r="A40" s="102" t="s">
        <v>1020</v>
      </c>
      <c r="B40" s="177" t="s">
        <v>1021</v>
      </c>
      <c r="C40" s="177" t="s">
        <v>956</v>
      </c>
      <c r="D40" s="102" t="s">
        <v>15</v>
      </c>
      <c r="E40" s="102" t="s">
        <v>12</v>
      </c>
      <c r="F40" s="186" t="s">
        <v>174</v>
      </c>
      <c r="G40" s="102" t="n">
        <v>17</v>
      </c>
      <c r="H40" s="102" t="s">
        <v>1006</v>
      </c>
      <c r="I40" s="102" t="n">
        <v>3</v>
      </c>
      <c r="J40" s="102"/>
      <c r="K40" s="102"/>
    </row>
    <row r="41" customFormat="false" ht="15" hidden="false" customHeight="false" outlineLevel="0" collapsed="false">
      <c r="A41" s="106" t="s">
        <v>1022</v>
      </c>
      <c r="B41" s="179" t="s">
        <v>1023</v>
      </c>
      <c r="C41" s="179" t="s">
        <v>956</v>
      </c>
      <c r="D41" s="106" t="s">
        <v>15</v>
      </c>
      <c r="E41" s="106" t="s">
        <v>12</v>
      </c>
      <c r="F41" s="188" t="s">
        <v>174</v>
      </c>
      <c r="G41" s="106" t="n">
        <v>3</v>
      </c>
      <c r="H41" s="106" t="s">
        <v>993</v>
      </c>
      <c r="I41" s="106" t="n">
        <v>4</v>
      </c>
      <c r="J41" s="106"/>
      <c r="K41" s="106"/>
    </row>
    <row r="42" customFormat="false" ht="15" hidden="false" customHeight="false" outlineLevel="0" collapsed="false">
      <c r="A42" s="102" t="s">
        <v>1024</v>
      </c>
      <c r="B42" s="177" t="s">
        <v>1025</v>
      </c>
      <c r="C42" s="177" t="s">
        <v>956</v>
      </c>
      <c r="D42" s="102" t="s">
        <v>15</v>
      </c>
      <c r="E42" s="102" t="s">
        <v>12</v>
      </c>
      <c r="F42" s="186" t="s">
        <v>168</v>
      </c>
      <c r="G42" s="102" t="n">
        <v>10</v>
      </c>
      <c r="H42" s="102" t="s">
        <v>1006</v>
      </c>
      <c r="I42" s="102"/>
      <c r="J42" s="102"/>
      <c r="K42" s="102"/>
    </row>
    <row r="43" customFormat="false" ht="15" hidden="false" customHeight="false" outlineLevel="0" collapsed="false">
      <c r="A43" s="106" t="s">
        <v>1026</v>
      </c>
      <c r="B43" s="179" t="s">
        <v>1027</v>
      </c>
      <c r="C43" s="179" t="s">
        <v>956</v>
      </c>
      <c r="D43" s="106" t="s">
        <v>15</v>
      </c>
      <c r="E43" s="106" t="s">
        <v>12</v>
      </c>
      <c r="F43" s="188" t="s">
        <v>175</v>
      </c>
      <c r="G43" s="106" t="n">
        <v>13</v>
      </c>
      <c r="H43" s="106" t="s">
        <v>1003</v>
      </c>
      <c r="I43" s="106" t="n">
        <v>5</v>
      </c>
      <c r="J43" s="106"/>
      <c r="K43" s="106"/>
    </row>
    <row r="44" customFormat="false" ht="15" hidden="false" customHeight="false" outlineLevel="0" collapsed="false">
      <c r="A44" s="102" t="s">
        <v>1028</v>
      </c>
      <c r="B44" s="177" t="s">
        <v>1029</v>
      </c>
      <c r="C44" s="177" t="s">
        <v>956</v>
      </c>
      <c r="D44" s="102" t="s">
        <v>15</v>
      </c>
      <c r="E44" s="102" t="s">
        <v>12</v>
      </c>
      <c r="F44" s="186" t="s">
        <v>168</v>
      </c>
      <c r="G44" s="102" t="n">
        <v>23</v>
      </c>
      <c r="H44" s="102" t="s">
        <v>993</v>
      </c>
      <c r="I44" s="102"/>
      <c r="J44" s="102"/>
      <c r="K44" s="102"/>
    </row>
    <row r="45" customFormat="false" ht="15" hidden="false" customHeight="false" outlineLevel="0" collapsed="false">
      <c r="A45" s="106" t="s">
        <v>1030</v>
      </c>
      <c r="B45" s="179" t="s">
        <v>1031</v>
      </c>
      <c r="C45" s="179" t="s">
        <v>958</v>
      </c>
      <c r="D45" s="106" t="s">
        <v>20</v>
      </c>
      <c r="E45" s="106" t="s">
        <v>11</v>
      </c>
      <c r="F45" s="188" t="s">
        <v>168</v>
      </c>
      <c r="G45" s="106" t="n">
        <v>20</v>
      </c>
      <c r="H45" s="106" t="s">
        <v>981</v>
      </c>
      <c r="I45" s="106"/>
      <c r="J45" s="106"/>
      <c r="K45" s="106"/>
    </row>
    <row r="46" customFormat="false" ht="15" hidden="false" customHeight="false" outlineLevel="0" collapsed="false">
      <c r="A46" s="102" t="s">
        <v>1032</v>
      </c>
      <c r="B46" s="177" t="s">
        <v>1033</v>
      </c>
      <c r="C46" s="177" t="s">
        <v>958</v>
      </c>
      <c r="D46" s="102" t="s">
        <v>20</v>
      </c>
      <c r="E46" s="102" t="s">
        <v>11</v>
      </c>
      <c r="F46" s="186" t="s">
        <v>168</v>
      </c>
      <c r="G46" s="102" t="n">
        <v>12</v>
      </c>
      <c r="H46" s="102" t="s">
        <v>998</v>
      </c>
      <c r="I46" s="102"/>
      <c r="J46" s="102"/>
      <c r="K46" s="102"/>
    </row>
    <row r="47" customFormat="false" ht="15" hidden="false" customHeight="false" outlineLevel="0" collapsed="false">
      <c r="A47" s="106" t="s">
        <v>1034</v>
      </c>
      <c r="B47" s="179" t="s">
        <v>1035</v>
      </c>
      <c r="C47" s="179" t="s">
        <v>958</v>
      </c>
      <c r="D47" s="106" t="s">
        <v>20</v>
      </c>
      <c r="E47" s="106" t="s">
        <v>11</v>
      </c>
      <c r="F47" s="188" t="s">
        <v>177</v>
      </c>
      <c r="G47" s="106" t="n">
        <v>25</v>
      </c>
      <c r="H47" s="106" t="s">
        <v>1003</v>
      </c>
      <c r="I47" s="106" t="n">
        <v>5</v>
      </c>
      <c r="J47" s="106"/>
      <c r="K47" s="106"/>
    </row>
    <row r="48" customFormat="false" ht="15" hidden="false" customHeight="false" outlineLevel="0" collapsed="false">
      <c r="A48" s="102" t="s">
        <v>1036</v>
      </c>
      <c r="B48" s="177" t="s">
        <v>1037</v>
      </c>
      <c r="C48" s="177" t="s">
        <v>958</v>
      </c>
      <c r="D48" s="102" t="s">
        <v>20</v>
      </c>
      <c r="E48" s="102" t="s">
        <v>11</v>
      </c>
      <c r="F48" s="186" t="s">
        <v>174</v>
      </c>
      <c r="G48" s="102" t="n">
        <v>24</v>
      </c>
      <c r="H48" s="102" t="s">
        <v>1006</v>
      </c>
      <c r="I48" s="102" t="n">
        <v>4</v>
      </c>
      <c r="J48" s="102"/>
      <c r="K48" s="102"/>
    </row>
    <row r="49" customFormat="false" ht="15" hidden="false" customHeight="false" outlineLevel="0" collapsed="false">
      <c r="A49" s="106" t="s">
        <v>1038</v>
      </c>
      <c r="B49" s="179" t="s">
        <v>1039</v>
      </c>
      <c r="C49" s="179" t="s">
        <v>958</v>
      </c>
      <c r="D49" s="106" t="s">
        <v>20</v>
      </c>
      <c r="E49" s="106" t="s">
        <v>11</v>
      </c>
      <c r="F49" s="188" t="s">
        <v>174</v>
      </c>
      <c r="G49" s="106" t="n">
        <v>14</v>
      </c>
      <c r="H49" s="106" t="s">
        <v>986</v>
      </c>
      <c r="I49" s="106" t="n">
        <v>5</v>
      </c>
      <c r="J49" s="106"/>
      <c r="K49" s="106"/>
    </row>
    <row r="50" customFormat="false" ht="15" hidden="false" customHeight="false" outlineLevel="0" collapsed="false">
      <c r="A50" s="102" t="s">
        <v>1040</v>
      </c>
      <c r="B50" s="177" t="s">
        <v>1041</v>
      </c>
      <c r="C50" s="177" t="s">
        <v>958</v>
      </c>
      <c r="D50" s="102" t="s">
        <v>20</v>
      </c>
      <c r="E50" s="102" t="s">
        <v>11</v>
      </c>
      <c r="F50" s="186" t="s">
        <v>168</v>
      </c>
      <c r="G50" s="102" t="n">
        <v>18</v>
      </c>
      <c r="H50" s="102" t="s">
        <v>986</v>
      </c>
      <c r="I50" s="102"/>
      <c r="J50" s="102"/>
      <c r="K50" s="102"/>
    </row>
    <row r="51" customFormat="false" ht="15" hidden="false" customHeight="false" outlineLevel="0" collapsed="false">
      <c r="A51" s="106" t="s">
        <v>1042</v>
      </c>
      <c r="B51" s="179" t="s">
        <v>1043</v>
      </c>
      <c r="C51" s="179" t="s">
        <v>958</v>
      </c>
      <c r="D51" s="106" t="s">
        <v>20</v>
      </c>
      <c r="E51" s="106" t="s">
        <v>11</v>
      </c>
      <c r="F51" s="188" t="s">
        <v>174</v>
      </c>
      <c r="G51" s="106" t="n">
        <v>25</v>
      </c>
      <c r="H51" s="106" t="s">
        <v>986</v>
      </c>
      <c r="I51" s="106" t="n">
        <v>4</v>
      </c>
      <c r="J51" s="106"/>
      <c r="K51" s="106"/>
    </row>
    <row r="52" customFormat="false" ht="15" hidden="false" customHeight="false" outlineLevel="0" collapsed="false">
      <c r="A52" s="102" t="s">
        <v>1044</v>
      </c>
      <c r="B52" s="177" t="s">
        <v>1045</v>
      </c>
      <c r="C52" s="177" t="s">
        <v>960</v>
      </c>
      <c r="D52" s="102" t="s">
        <v>21</v>
      </c>
      <c r="E52" s="102" t="s">
        <v>12</v>
      </c>
      <c r="F52" s="186" t="s">
        <v>173</v>
      </c>
      <c r="G52" s="102" t="n">
        <v>20</v>
      </c>
      <c r="H52" s="102" t="s">
        <v>1006</v>
      </c>
      <c r="I52" s="102"/>
      <c r="J52" s="102"/>
      <c r="K52" s="102"/>
    </row>
    <row r="53" customFormat="false" ht="15" hidden="false" customHeight="false" outlineLevel="0" collapsed="false">
      <c r="A53" s="106" t="s">
        <v>1046</v>
      </c>
      <c r="B53" s="179" t="s">
        <v>1047</v>
      </c>
      <c r="C53" s="179" t="s">
        <v>960</v>
      </c>
      <c r="D53" s="106" t="s">
        <v>21</v>
      </c>
      <c r="E53" s="106" t="s">
        <v>12</v>
      </c>
      <c r="F53" s="188" t="s">
        <v>168</v>
      </c>
      <c r="G53" s="106" t="n">
        <v>20</v>
      </c>
      <c r="H53" s="106" t="s">
        <v>993</v>
      </c>
      <c r="I53" s="106"/>
      <c r="J53" s="106"/>
      <c r="K53" s="106"/>
    </row>
    <row r="54" customFormat="false" ht="15" hidden="false" customHeight="false" outlineLevel="0" collapsed="false">
      <c r="A54" s="102" t="s">
        <v>1048</v>
      </c>
      <c r="B54" s="177" t="s">
        <v>1049</v>
      </c>
      <c r="C54" s="177" t="s">
        <v>960</v>
      </c>
      <c r="D54" s="102" t="s">
        <v>21</v>
      </c>
      <c r="E54" s="102" t="s">
        <v>12</v>
      </c>
      <c r="F54" s="186" t="s">
        <v>168</v>
      </c>
      <c r="G54" s="102" t="n">
        <v>12</v>
      </c>
      <c r="H54" s="102" t="s">
        <v>1006</v>
      </c>
      <c r="I54" s="102"/>
      <c r="J54" s="102"/>
      <c r="K54" s="102"/>
    </row>
    <row r="55" customFormat="false" ht="15" hidden="false" customHeight="false" outlineLevel="0" collapsed="false">
      <c r="A55" s="106" t="s">
        <v>1050</v>
      </c>
      <c r="B55" s="179" t="s">
        <v>1051</v>
      </c>
      <c r="C55" s="179" t="s">
        <v>960</v>
      </c>
      <c r="D55" s="106" t="s">
        <v>21</v>
      </c>
      <c r="E55" s="106" t="s">
        <v>12</v>
      </c>
      <c r="F55" s="188" t="s">
        <v>173</v>
      </c>
      <c r="G55" s="106" t="n">
        <v>22</v>
      </c>
      <c r="H55" s="106" t="s">
        <v>981</v>
      </c>
      <c r="I55" s="106"/>
      <c r="J55" s="106"/>
      <c r="K55" s="106"/>
    </row>
    <row r="56" customFormat="false" ht="15" hidden="false" customHeight="false" outlineLevel="0" collapsed="false">
      <c r="A56" s="102" t="s">
        <v>1052</v>
      </c>
      <c r="B56" s="177" t="s">
        <v>1053</v>
      </c>
      <c r="C56" s="177" t="s">
        <v>357</v>
      </c>
      <c r="D56" s="102" t="s">
        <v>22</v>
      </c>
      <c r="E56" s="102" t="s">
        <v>11</v>
      </c>
      <c r="F56" s="186" t="s">
        <v>177</v>
      </c>
      <c r="G56" s="102" t="n">
        <v>22</v>
      </c>
      <c r="H56" s="102" t="s">
        <v>981</v>
      </c>
      <c r="I56" s="102" t="n">
        <v>4</v>
      </c>
      <c r="J56" s="102"/>
      <c r="K56" s="102"/>
    </row>
    <row r="57" customFormat="false" ht="15" hidden="false" customHeight="false" outlineLevel="0" collapsed="false">
      <c r="A57" s="106" t="s">
        <v>1054</v>
      </c>
      <c r="B57" s="179" t="s">
        <v>1055</v>
      </c>
      <c r="C57" s="179" t="s">
        <v>357</v>
      </c>
      <c r="D57" s="106" t="s">
        <v>22</v>
      </c>
      <c r="E57" s="106" t="s">
        <v>11</v>
      </c>
      <c r="F57" s="188" t="s">
        <v>174</v>
      </c>
      <c r="G57" s="106" t="n">
        <v>13</v>
      </c>
      <c r="H57" s="106" t="s">
        <v>1006</v>
      </c>
      <c r="I57" s="106" t="n">
        <v>3</v>
      </c>
      <c r="J57" s="106"/>
      <c r="K57" s="106"/>
    </row>
    <row r="58" customFormat="false" ht="15" hidden="false" customHeight="false" outlineLevel="0" collapsed="false">
      <c r="A58" s="102" t="s">
        <v>1056</v>
      </c>
      <c r="B58" s="177" t="s">
        <v>1057</v>
      </c>
      <c r="C58" s="177" t="s">
        <v>357</v>
      </c>
      <c r="D58" s="102" t="s">
        <v>22</v>
      </c>
      <c r="E58" s="102" t="s">
        <v>11</v>
      </c>
      <c r="F58" s="186" t="s">
        <v>175</v>
      </c>
      <c r="G58" s="102" t="n">
        <v>19</v>
      </c>
      <c r="H58" s="102" t="s">
        <v>981</v>
      </c>
      <c r="I58" s="102" t="n">
        <v>3</v>
      </c>
      <c r="J58" s="102"/>
      <c r="K58" s="102"/>
    </row>
    <row r="59" customFormat="false" ht="15" hidden="false" customHeight="false" outlineLevel="0" collapsed="false">
      <c r="A59" s="106" t="s">
        <v>1058</v>
      </c>
      <c r="B59" s="179" t="s">
        <v>1031</v>
      </c>
      <c r="C59" s="179" t="s">
        <v>357</v>
      </c>
      <c r="D59" s="106" t="s">
        <v>22</v>
      </c>
      <c r="E59" s="106" t="s">
        <v>11</v>
      </c>
      <c r="F59" s="188" t="s">
        <v>177</v>
      </c>
      <c r="G59" s="106" t="n">
        <v>23</v>
      </c>
      <c r="H59" s="106" t="s">
        <v>1003</v>
      </c>
      <c r="I59" s="106" t="n">
        <v>3</v>
      </c>
      <c r="J59" s="106"/>
      <c r="K59" s="106"/>
    </row>
    <row r="60" customFormat="false" ht="15" hidden="false" customHeight="false" outlineLevel="0" collapsed="false">
      <c r="A60" s="102" t="s">
        <v>1059</v>
      </c>
      <c r="B60" s="177" t="s">
        <v>1025</v>
      </c>
      <c r="C60" s="177" t="s">
        <v>357</v>
      </c>
      <c r="D60" s="102" t="s">
        <v>22</v>
      </c>
      <c r="E60" s="102" t="s">
        <v>11</v>
      </c>
      <c r="F60" s="186" t="s">
        <v>175</v>
      </c>
      <c r="G60" s="102" t="n">
        <v>9</v>
      </c>
      <c r="H60" s="102" t="s">
        <v>1003</v>
      </c>
      <c r="I60" s="102" t="n">
        <v>5</v>
      </c>
      <c r="J60" s="102"/>
      <c r="K60" s="102"/>
    </row>
    <row r="61" customFormat="false" ht="15" hidden="false" customHeight="false" outlineLevel="0" collapsed="false">
      <c r="A61" s="106" t="s">
        <v>1060</v>
      </c>
      <c r="B61" s="179" t="s">
        <v>1035</v>
      </c>
      <c r="C61" s="179" t="s">
        <v>963</v>
      </c>
      <c r="D61" s="106" t="s">
        <v>25</v>
      </c>
      <c r="E61" s="106" t="s">
        <v>11</v>
      </c>
      <c r="F61" s="188" t="s">
        <v>173</v>
      </c>
      <c r="G61" s="106" t="n">
        <v>13</v>
      </c>
      <c r="H61" s="106" t="s">
        <v>1003</v>
      </c>
      <c r="I61" s="106"/>
      <c r="J61" s="106"/>
      <c r="K61" s="106"/>
    </row>
    <row r="62" customFormat="false" ht="15" hidden="false" customHeight="false" outlineLevel="0" collapsed="false">
      <c r="A62" s="102" t="s">
        <v>1061</v>
      </c>
      <c r="B62" s="177" t="s">
        <v>1062</v>
      </c>
      <c r="C62" s="177" t="s">
        <v>963</v>
      </c>
      <c r="D62" s="102" t="s">
        <v>25</v>
      </c>
      <c r="E62" s="102" t="s">
        <v>11</v>
      </c>
      <c r="F62" s="186" t="s">
        <v>168</v>
      </c>
      <c r="G62" s="102" t="n">
        <v>19</v>
      </c>
      <c r="H62" s="102" t="s">
        <v>993</v>
      </c>
      <c r="I62" s="102"/>
      <c r="J62" s="102"/>
      <c r="K62" s="102"/>
    </row>
    <row r="63" customFormat="false" ht="15" hidden="false" customHeight="false" outlineLevel="0" collapsed="false">
      <c r="A63" s="106" t="s">
        <v>1063</v>
      </c>
      <c r="B63" s="179" t="s">
        <v>1064</v>
      </c>
      <c r="C63" s="179" t="s">
        <v>963</v>
      </c>
      <c r="D63" s="106" t="s">
        <v>25</v>
      </c>
      <c r="E63" s="106" t="s">
        <v>11</v>
      </c>
      <c r="F63" s="188" t="s">
        <v>168</v>
      </c>
      <c r="G63" s="106" t="n">
        <v>25</v>
      </c>
      <c r="H63" s="106" t="s">
        <v>998</v>
      </c>
      <c r="I63" s="106"/>
      <c r="J63" s="106"/>
      <c r="K63" s="106"/>
    </row>
    <row r="64" customFormat="false" ht="15" hidden="false" customHeight="false" outlineLevel="0" collapsed="false">
      <c r="A64" s="102" t="s">
        <v>1065</v>
      </c>
      <c r="B64" s="177" t="s">
        <v>1066</v>
      </c>
      <c r="C64" s="177" t="s">
        <v>963</v>
      </c>
      <c r="D64" s="102" t="s">
        <v>25</v>
      </c>
      <c r="E64" s="102" t="s">
        <v>11</v>
      </c>
      <c r="F64" s="186" t="s">
        <v>173</v>
      </c>
      <c r="G64" s="102" t="n">
        <v>24</v>
      </c>
      <c r="H64" s="102" t="s">
        <v>981</v>
      </c>
      <c r="I64" s="102"/>
      <c r="J64" s="102"/>
      <c r="K64" s="102"/>
    </row>
    <row r="65" customFormat="false" ht="15" hidden="false" customHeight="false" outlineLevel="0" collapsed="false">
      <c r="A65" s="106" t="s">
        <v>1067</v>
      </c>
      <c r="B65" s="179" t="s">
        <v>1068</v>
      </c>
      <c r="C65" s="179" t="s">
        <v>965</v>
      </c>
      <c r="D65" s="106" t="s">
        <v>15</v>
      </c>
      <c r="E65" s="106" t="s">
        <v>12</v>
      </c>
      <c r="F65" s="188" t="s">
        <v>175</v>
      </c>
      <c r="G65" s="106" t="n">
        <v>18</v>
      </c>
      <c r="H65" s="106" t="s">
        <v>1006</v>
      </c>
      <c r="I65" s="106" t="n">
        <v>3</v>
      </c>
      <c r="J65" s="106"/>
      <c r="K65" s="106"/>
    </row>
    <row r="66" customFormat="false" ht="15" hidden="false" customHeight="false" outlineLevel="0" collapsed="false">
      <c r="A66" s="102" t="s">
        <v>1069</v>
      </c>
      <c r="B66" s="177" t="s">
        <v>1070</v>
      </c>
      <c r="C66" s="177" t="s">
        <v>965</v>
      </c>
      <c r="D66" s="102" t="s">
        <v>15</v>
      </c>
      <c r="E66" s="102" t="s">
        <v>12</v>
      </c>
      <c r="F66" s="186" t="s">
        <v>174</v>
      </c>
      <c r="G66" s="102" t="n">
        <v>10</v>
      </c>
      <c r="H66" s="102" t="s">
        <v>986</v>
      </c>
      <c r="I66" s="102" t="n">
        <v>3</v>
      </c>
      <c r="J66" s="102"/>
      <c r="K66" s="102"/>
    </row>
    <row r="67" customFormat="false" ht="15" hidden="false" customHeight="false" outlineLevel="0" collapsed="false">
      <c r="A67" s="106" t="s">
        <v>1071</v>
      </c>
      <c r="B67" s="179" t="s">
        <v>1072</v>
      </c>
      <c r="C67" s="179" t="s">
        <v>965</v>
      </c>
      <c r="D67" s="106" t="s">
        <v>15</v>
      </c>
      <c r="E67" s="106" t="s">
        <v>12</v>
      </c>
      <c r="F67" s="188" t="s">
        <v>173</v>
      </c>
      <c r="G67" s="106" t="n">
        <v>9</v>
      </c>
      <c r="H67" s="106" t="s">
        <v>981</v>
      </c>
      <c r="I67" s="106"/>
      <c r="J67" s="106"/>
      <c r="K67" s="106"/>
    </row>
    <row r="68" customFormat="false" ht="15" hidden="false" customHeight="false" outlineLevel="0" collapsed="false">
      <c r="A68" s="102" t="s">
        <v>1073</v>
      </c>
      <c r="B68" s="177" t="s">
        <v>1074</v>
      </c>
      <c r="C68" s="177" t="s">
        <v>965</v>
      </c>
      <c r="D68" s="102" t="s">
        <v>15</v>
      </c>
      <c r="E68" s="102" t="s">
        <v>12</v>
      </c>
      <c r="F68" s="186" t="s">
        <v>174</v>
      </c>
      <c r="G68" s="102" t="n">
        <v>4</v>
      </c>
      <c r="H68" s="102" t="s">
        <v>981</v>
      </c>
      <c r="I68" s="102" t="n">
        <v>5</v>
      </c>
      <c r="J68" s="102"/>
      <c r="K68" s="102"/>
    </row>
    <row r="69" customFormat="false" ht="15" hidden="false" customHeight="false" outlineLevel="0" collapsed="false">
      <c r="A69" s="106" t="s">
        <v>1075</v>
      </c>
      <c r="B69" s="179" t="s">
        <v>1031</v>
      </c>
      <c r="C69" s="179" t="s">
        <v>965</v>
      </c>
      <c r="D69" s="106" t="s">
        <v>15</v>
      </c>
      <c r="E69" s="106" t="s">
        <v>12</v>
      </c>
      <c r="F69" s="188" t="s">
        <v>173</v>
      </c>
      <c r="G69" s="106" t="n">
        <v>14</v>
      </c>
      <c r="H69" s="106" t="s">
        <v>993</v>
      </c>
      <c r="I69" s="106"/>
      <c r="J69" s="106"/>
      <c r="K69" s="106"/>
    </row>
    <row r="70" customFormat="false" ht="15" hidden="false" customHeight="false" outlineLevel="0" collapsed="false">
      <c r="A70" s="102" t="s">
        <v>1076</v>
      </c>
      <c r="B70" s="177" t="s">
        <v>1077</v>
      </c>
      <c r="C70" s="177" t="s">
        <v>965</v>
      </c>
      <c r="D70" s="102" t="s">
        <v>15</v>
      </c>
      <c r="E70" s="102" t="s">
        <v>12</v>
      </c>
      <c r="F70" s="186" t="s">
        <v>173</v>
      </c>
      <c r="G70" s="102" t="n">
        <v>24</v>
      </c>
      <c r="H70" s="102" t="s">
        <v>1006</v>
      </c>
      <c r="I70" s="102"/>
      <c r="J70" s="102"/>
      <c r="K70" s="102"/>
    </row>
    <row r="71" customFormat="false" ht="15" hidden="false" customHeight="false" outlineLevel="0" collapsed="false">
      <c r="A71" s="106" t="s">
        <v>1078</v>
      </c>
      <c r="B71" s="179" t="s">
        <v>1079</v>
      </c>
      <c r="C71" s="179" t="s">
        <v>967</v>
      </c>
      <c r="D71" s="106" t="s">
        <v>23</v>
      </c>
      <c r="E71" s="106" t="s">
        <v>11</v>
      </c>
      <c r="F71" s="188" t="s">
        <v>173</v>
      </c>
      <c r="G71" s="106" t="n">
        <v>12</v>
      </c>
      <c r="H71" s="106" t="s">
        <v>993</v>
      </c>
      <c r="I71" s="106"/>
      <c r="J71" s="106"/>
      <c r="K71" s="106"/>
    </row>
    <row r="72" customFormat="false" ht="15" hidden="false" customHeight="false" outlineLevel="0" collapsed="false">
      <c r="A72" s="102" t="s">
        <v>1080</v>
      </c>
      <c r="B72" s="177" t="s">
        <v>1081</v>
      </c>
      <c r="C72" s="177" t="s">
        <v>967</v>
      </c>
      <c r="D72" s="102" t="s">
        <v>23</v>
      </c>
      <c r="E72" s="102" t="s">
        <v>11</v>
      </c>
      <c r="F72" s="186" t="s">
        <v>168</v>
      </c>
      <c r="G72" s="102" t="n">
        <v>24</v>
      </c>
      <c r="H72" s="102" t="s">
        <v>993</v>
      </c>
      <c r="I72" s="102"/>
      <c r="J72" s="102"/>
      <c r="K72" s="102"/>
    </row>
    <row r="73" customFormat="false" ht="15" hidden="false" customHeight="false" outlineLevel="0" collapsed="false">
      <c r="A73" s="106" t="s">
        <v>1082</v>
      </c>
      <c r="B73" s="179" t="s">
        <v>1083</v>
      </c>
      <c r="C73" s="179" t="s">
        <v>967</v>
      </c>
      <c r="D73" s="106" t="s">
        <v>23</v>
      </c>
      <c r="E73" s="106" t="s">
        <v>11</v>
      </c>
      <c r="F73" s="188" t="s">
        <v>168</v>
      </c>
      <c r="G73" s="106" t="n">
        <v>4</v>
      </c>
      <c r="H73" s="106" t="s">
        <v>981</v>
      </c>
      <c r="I73" s="106"/>
      <c r="J73" s="106"/>
      <c r="K73" s="106"/>
    </row>
    <row r="74" customFormat="false" ht="15" hidden="false" customHeight="false" outlineLevel="0" collapsed="false">
      <c r="A74" s="102" t="s">
        <v>1084</v>
      </c>
      <c r="B74" s="177" t="s">
        <v>391</v>
      </c>
      <c r="C74" s="177" t="s">
        <v>969</v>
      </c>
      <c r="D74" s="102" t="s">
        <v>24</v>
      </c>
      <c r="E74" s="102" t="s">
        <v>11</v>
      </c>
      <c r="F74" s="186" t="s">
        <v>175</v>
      </c>
      <c r="G74" s="102" t="n">
        <v>12</v>
      </c>
      <c r="H74" s="102" t="s">
        <v>1003</v>
      </c>
      <c r="I74" s="102" t="n">
        <v>3</v>
      </c>
      <c r="J74" s="102"/>
      <c r="K74" s="102"/>
    </row>
    <row r="75" customFormat="false" ht="15" hidden="false" customHeight="false" outlineLevel="0" collapsed="false">
      <c r="A75" s="106" t="s">
        <v>1085</v>
      </c>
      <c r="B75" s="179" t="s">
        <v>1086</v>
      </c>
      <c r="C75" s="179" t="s">
        <v>969</v>
      </c>
      <c r="D75" s="106" t="s">
        <v>24</v>
      </c>
      <c r="E75" s="106" t="s">
        <v>11</v>
      </c>
      <c r="F75" s="188" t="s">
        <v>175</v>
      </c>
      <c r="G75" s="106" t="n">
        <v>11</v>
      </c>
      <c r="H75" s="106" t="s">
        <v>1006</v>
      </c>
      <c r="I75" s="106" t="n">
        <v>5</v>
      </c>
      <c r="J75" s="106"/>
      <c r="K75" s="106"/>
    </row>
    <row r="76" customFormat="false" ht="15" hidden="false" customHeight="false" outlineLevel="0" collapsed="false">
      <c r="A76" s="102" t="s">
        <v>1087</v>
      </c>
      <c r="B76" s="177" t="s">
        <v>1088</v>
      </c>
      <c r="C76" s="177" t="s">
        <v>969</v>
      </c>
      <c r="D76" s="102" t="s">
        <v>24</v>
      </c>
      <c r="E76" s="102" t="s">
        <v>11</v>
      </c>
      <c r="F76" s="186" t="s">
        <v>174</v>
      </c>
      <c r="G76" s="102" t="n">
        <v>19</v>
      </c>
      <c r="H76" s="102" t="s">
        <v>998</v>
      </c>
      <c r="I76" s="102" t="n">
        <v>4</v>
      </c>
      <c r="J76" s="102"/>
      <c r="K76" s="102"/>
    </row>
    <row r="77" customFormat="false" ht="15" hidden="false" customHeight="false" outlineLevel="0" collapsed="false">
      <c r="A77" s="106" t="s">
        <v>1089</v>
      </c>
      <c r="B77" s="179" t="s">
        <v>1090</v>
      </c>
      <c r="C77" s="179" t="s">
        <v>969</v>
      </c>
      <c r="D77" s="106" t="s">
        <v>24</v>
      </c>
      <c r="E77" s="106" t="s">
        <v>11</v>
      </c>
      <c r="F77" s="188" t="s">
        <v>173</v>
      </c>
      <c r="G77" s="106" t="n">
        <v>13</v>
      </c>
      <c r="H77" s="106" t="s">
        <v>1003</v>
      </c>
      <c r="I77" s="106"/>
      <c r="J77" s="106"/>
      <c r="K77" s="106"/>
    </row>
    <row r="78" customFormat="false" ht="15" hidden="false" customHeight="false" outlineLevel="0" collapsed="false">
      <c r="A78" s="102" t="s">
        <v>1091</v>
      </c>
      <c r="B78" s="177" t="s">
        <v>1092</v>
      </c>
      <c r="C78" s="177" t="s">
        <v>969</v>
      </c>
      <c r="D78" s="102" t="s">
        <v>24</v>
      </c>
      <c r="E78" s="102" t="s">
        <v>11</v>
      </c>
      <c r="F78" s="186" t="s">
        <v>168</v>
      </c>
      <c r="G78" s="102" t="n">
        <v>4</v>
      </c>
      <c r="H78" s="102" t="s">
        <v>998</v>
      </c>
      <c r="I78" s="102"/>
      <c r="J78" s="102"/>
      <c r="K78" s="102"/>
    </row>
    <row r="79" customFormat="false" ht="15" hidden="false" customHeight="false" outlineLevel="0" collapsed="false">
      <c r="A79" s="106" t="s">
        <v>1093</v>
      </c>
      <c r="B79" s="179" t="s">
        <v>1094</v>
      </c>
      <c r="C79" s="179" t="s">
        <v>971</v>
      </c>
      <c r="D79" s="106" t="s">
        <v>16</v>
      </c>
      <c r="E79" s="106" t="s">
        <v>12</v>
      </c>
      <c r="F79" s="188" t="s">
        <v>168</v>
      </c>
      <c r="G79" s="106" t="n">
        <v>10</v>
      </c>
      <c r="H79" s="106" t="s">
        <v>986</v>
      </c>
      <c r="I79" s="106"/>
      <c r="J79" s="106"/>
      <c r="K79" s="106"/>
    </row>
    <row r="80" customFormat="false" ht="15" hidden="false" customHeight="false" outlineLevel="0" collapsed="false">
      <c r="A80" s="102" t="s">
        <v>1095</v>
      </c>
      <c r="B80" s="177" t="s">
        <v>1096</v>
      </c>
      <c r="C80" s="177" t="s">
        <v>971</v>
      </c>
      <c r="D80" s="102" t="s">
        <v>16</v>
      </c>
      <c r="E80" s="102" t="s">
        <v>12</v>
      </c>
      <c r="F80" s="186" t="s">
        <v>168</v>
      </c>
      <c r="G80" s="102" t="n">
        <v>14</v>
      </c>
      <c r="H80" s="102" t="s">
        <v>986</v>
      </c>
      <c r="I80" s="102"/>
      <c r="J80" s="102"/>
      <c r="K80" s="102"/>
    </row>
    <row r="81" customFormat="false" ht="15" hidden="false" customHeight="false" outlineLevel="0" collapsed="false">
      <c r="A81" s="106" t="s">
        <v>1097</v>
      </c>
      <c r="B81" s="179" t="s">
        <v>1098</v>
      </c>
      <c r="C81" s="179" t="s">
        <v>971</v>
      </c>
      <c r="D81" s="106" t="s">
        <v>16</v>
      </c>
      <c r="E81" s="106" t="s">
        <v>12</v>
      </c>
      <c r="F81" s="188" t="s">
        <v>168</v>
      </c>
      <c r="G81" s="106" t="n">
        <v>21</v>
      </c>
      <c r="H81" s="106" t="s">
        <v>998</v>
      </c>
      <c r="I81" s="106"/>
      <c r="J81" s="106"/>
      <c r="K81" s="106"/>
    </row>
    <row r="82" customFormat="false" ht="15" hidden="false" customHeight="false" outlineLevel="0" collapsed="false">
      <c r="A82" s="102" t="s">
        <v>1099</v>
      </c>
      <c r="B82" s="177" t="s">
        <v>1100</v>
      </c>
      <c r="C82" s="177" t="s">
        <v>971</v>
      </c>
      <c r="D82" s="102" t="s">
        <v>16</v>
      </c>
      <c r="E82" s="102" t="s">
        <v>12</v>
      </c>
      <c r="F82" s="186" t="s">
        <v>168</v>
      </c>
      <c r="G82" s="102" t="n">
        <v>6</v>
      </c>
      <c r="H82" s="102" t="s">
        <v>986</v>
      </c>
      <c r="I82" s="102"/>
      <c r="J82" s="102"/>
      <c r="K82" s="102"/>
    </row>
    <row r="83" customFormat="false" ht="15" hidden="false" customHeight="false" outlineLevel="0" collapsed="false">
      <c r="A83" s="106" t="s">
        <v>1101</v>
      </c>
      <c r="B83" s="179" t="s">
        <v>1086</v>
      </c>
      <c r="C83" s="179" t="s">
        <v>971</v>
      </c>
      <c r="D83" s="106" t="s">
        <v>16</v>
      </c>
      <c r="E83" s="106" t="s">
        <v>12</v>
      </c>
      <c r="F83" s="188" t="s">
        <v>168</v>
      </c>
      <c r="G83" s="106" t="n">
        <v>5</v>
      </c>
      <c r="H83" s="106" t="s">
        <v>1003</v>
      </c>
      <c r="I83" s="106"/>
      <c r="J83" s="106"/>
      <c r="K83" s="106"/>
    </row>
    <row r="84" customFormat="false" ht="15" hidden="false" customHeight="false" outlineLevel="0" collapsed="false">
      <c r="A84" s="102" t="s">
        <v>1102</v>
      </c>
      <c r="B84" s="177" t="s">
        <v>1103</v>
      </c>
      <c r="C84" s="177" t="s">
        <v>971</v>
      </c>
      <c r="D84" s="102" t="s">
        <v>16</v>
      </c>
      <c r="E84" s="102" t="s">
        <v>12</v>
      </c>
      <c r="F84" s="186" t="s">
        <v>173</v>
      </c>
      <c r="G84" s="102" t="n">
        <v>10</v>
      </c>
      <c r="H84" s="102" t="s">
        <v>1003</v>
      </c>
      <c r="I84" s="102"/>
      <c r="J84" s="102"/>
      <c r="K84" s="102"/>
    </row>
    <row r="85" customFormat="false" ht="15" hidden="false" customHeight="false" outlineLevel="0" collapsed="false">
      <c r="A85" s="106" t="s">
        <v>1104</v>
      </c>
      <c r="B85" s="179" t="s">
        <v>1090</v>
      </c>
      <c r="C85" s="179" t="s">
        <v>971</v>
      </c>
      <c r="D85" s="106" t="s">
        <v>16</v>
      </c>
      <c r="E85" s="106" t="s">
        <v>12</v>
      </c>
      <c r="F85" s="188" t="s">
        <v>168</v>
      </c>
      <c r="G85" s="106" t="n">
        <v>16</v>
      </c>
      <c r="H85" s="106" t="s">
        <v>993</v>
      </c>
      <c r="I85" s="106"/>
      <c r="J85" s="106"/>
      <c r="K85" s="106"/>
    </row>
    <row r="86" customFormat="false" ht="15" hidden="false" customHeight="false" outlineLevel="0" collapsed="false">
      <c r="A86" s="102" t="s">
        <v>1105</v>
      </c>
      <c r="B86" s="177" t="s">
        <v>1106</v>
      </c>
      <c r="C86" s="177" t="s">
        <v>973</v>
      </c>
      <c r="D86" s="102" t="s">
        <v>15</v>
      </c>
      <c r="E86" s="102" t="s">
        <v>11</v>
      </c>
      <c r="F86" s="186" t="s">
        <v>168</v>
      </c>
      <c r="G86" s="102" t="n">
        <v>13</v>
      </c>
      <c r="H86" s="102" t="s">
        <v>993</v>
      </c>
      <c r="I86" s="102"/>
      <c r="J86" s="102"/>
      <c r="K86" s="102"/>
    </row>
    <row r="87" customFormat="false" ht="15" hidden="false" customHeight="false" outlineLevel="0" collapsed="false">
      <c r="A87" s="106" t="s">
        <v>1107</v>
      </c>
      <c r="B87" s="179" t="s">
        <v>1108</v>
      </c>
      <c r="C87" s="179" t="s">
        <v>973</v>
      </c>
      <c r="D87" s="106" t="s">
        <v>15</v>
      </c>
      <c r="E87" s="106" t="s">
        <v>11</v>
      </c>
      <c r="F87" s="188" t="s">
        <v>175</v>
      </c>
      <c r="G87" s="106" t="n">
        <v>2</v>
      </c>
      <c r="H87" s="106" t="s">
        <v>998</v>
      </c>
      <c r="I87" s="106" t="n">
        <v>4</v>
      </c>
      <c r="J87" s="106"/>
      <c r="K87" s="106"/>
    </row>
    <row r="88" customFormat="false" ht="15" hidden="false" customHeight="false" outlineLevel="0" collapsed="false">
      <c r="A88" s="102" t="s">
        <v>1109</v>
      </c>
      <c r="B88" s="177" t="s">
        <v>992</v>
      </c>
      <c r="C88" s="177" t="s">
        <v>973</v>
      </c>
      <c r="D88" s="102" t="s">
        <v>15</v>
      </c>
      <c r="E88" s="102" t="s">
        <v>11</v>
      </c>
      <c r="F88" s="186" t="s">
        <v>174</v>
      </c>
      <c r="G88" s="102" t="n">
        <v>19</v>
      </c>
      <c r="H88" s="102" t="s">
        <v>1006</v>
      </c>
      <c r="I88" s="102" t="n">
        <v>5</v>
      </c>
      <c r="J88" s="102"/>
      <c r="K88" s="102"/>
    </row>
    <row r="89" customFormat="false" ht="15" hidden="false" customHeight="false" outlineLevel="0" collapsed="false">
      <c r="A89" s="106" t="s">
        <v>1110</v>
      </c>
      <c r="B89" s="179" t="s">
        <v>1111</v>
      </c>
      <c r="C89" s="179" t="s">
        <v>973</v>
      </c>
      <c r="D89" s="106" t="s">
        <v>15</v>
      </c>
      <c r="E89" s="106" t="s">
        <v>11</v>
      </c>
      <c r="F89" s="188" t="s">
        <v>168</v>
      </c>
      <c r="G89" s="106" t="n">
        <v>10</v>
      </c>
      <c r="H89" s="106" t="s">
        <v>998</v>
      </c>
      <c r="I89" s="106"/>
      <c r="J89" s="106"/>
      <c r="K89" s="106"/>
    </row>
    <row r="90" customFormat="false" ht="15" hidden="false" customHeight="false" outlineLevel="0" collapsed="false">
      <c r="A90" s="102" t="s">
        <v>1112</v>
      </c>
      <c r="B90" s="177" t="s">
        <v>1113</v>
      </c>
      <c r="C90" s="177" t="s">
        <v>973</v>
      </c>
      <c r="D90" s="102" t="s">
        <v>15</v>
      </c>
      <c r="E90" s="102" t="s">
        <v>11</v>
      </c>
      <c r="F90" s="186" t="s">
        <v>168</v>
      </c>
      <c r="G90" s="102" t="n">
        <v>7</v>
      </c>
      <c r="H90" s="102" t="s">
        <v>986</v>
      </c>
      <c r="I90" s="102"/>
      <c r="J90" s="102"/>
      <c r="K90" s="102"/>
    </row>
    <row r="91" customFormat="false" ht="15" hidden="false" customHeight="false" outlineLevel="0" collapsed="false">
      <c r="A91" s="106" t="s">
        <v>1114</v>
      </c>
      <c r="B91" s="179" t="s">
        <v>1115</v>
      </c>
      <c r="C91" s="179" t="s">
        <v>973</v>
      </c>
      <c r="D91" s="106" t="s">
        <v>15</v>
      </c>
      <c r="E91" s="106" t="s">
        <v>11</v>
      </c>
      <c r="F91" s="188" t="s">
        <v>168</v>
      </c>
      <c r="G91" s="106" t="n">
        <v>4</v>
      </c>
      <c r="H91" s="106" t="s">
        <v>998</v>
      </c>
      <c r="I91" s="106"/>
      <c r="J91" s="106"/>
      <c r="K91" s="106"/>
    </row>
    <row r="92" customFormat="false" ht="15" hidden="false" customHeight="false" outlineLevel="0" collapsed="false">
      <c r="A92" s="102" t="s">
        <v>1116</v>
      </c>
      <c r="B92" s="177" t="s">
        <v>1117</v>
      </c>
      <c r="C92" s="177" t="s">
        <v>973</v>
      </c>
      <c r="D92" s="102" t="s">
        <v>15</v>
      </c>
      <c r="E92" s="102" t="s">
        <v>11</v>
      </c>
      <c r="F92" s="186" t="s">
        <v>174</v>
      </c>
      <c r="G92" s="102" t="n">
        <v>17</v>
      </c>
      <c r="H92" s="102" t="s">
        <v>993</v>
      </c>
      <c r="I92" s="102" t="n">
        <v>5</v>
      </c>
      <c r="J92" s="102"/>
      <c r="K92" s="102"/>
    </row>
  </sheetData>
  <mergeCells count="4">
    <mergeCell ref="A1:K1"/>
    <mergeCell ref="A2:K2"/>
    <mergeCell ref="A4:K4"/>
    <mergeCell ref="A20:K20"/>
  </mergeCells>
  <conditionalFormatting sqref="F6:F17">
    <cfRule type="expression" priority="2" aboveAverage="0" equalAverage="0" bottom="0" percent="0" rank="0" text="" dxfId="23">
      <formula>$F6="High"</formula>
    </cfRule>
    <cfRule type="expression" priority="3" aboveAverage="0" equalAverage="0" bottom="0" percent="0" rank="0" text="" dxfId="24">
      <formula>$F6="Medium"</formula>
    </cfRule>
    <cfRule type="expression" priority="4" aboveAverage="0" equalAverage="0" bottom="0" percent="0" rank="0" text="" dxfId="25">
      <formula>$F6="Low"</formula>
    </cfRule>
  </conditionalFormatting>
  <conditionalFormatting sqref="F22:F92">
    <cfRule type="expression" priority="5" aboveAverage="0" equalAverage="0" bottom="0" percent="0" rank="0" text="" dxfId="27">
      <formula>$F22="Applied"</formula>
    </cfRule>
    <cfRule type="expression" priority="6" aboveAverage="0" equalAverage="0" bottom="0" percent="0" rank="0" text="" dxfId="26">
      <formula>$F22="Screened"</formula>
    </cfRule>
    <cfRule type="expression" priority="7" aboveAverage="0" equalAverage="0" bottom="0" percent="0" rank="0" text="" dxfId="28">
      <formula>$F22="Interviewed"</formula>
    </cfRule>
    <cfRule type="expression" priority="8" aboveAverage="0" equalAverage="0" bottom="0" percent="0" rank="0" text="" dxfId="24">
      <formula>$F22="Offered"</formula>
    </cfRule>
    <cfRule type="expression" priority="9" aboveAverage="0" equalAverage="0" bottom="0" percent="0" rank="0" text="" dxfId="25">
      <formula>$F22="Joined"</formula>
    </cfRule>
  </conditionalFormatting>
  <conditionalFormatting sqref="G6:G17">
    <cfRule type="colorScale" priority="10">
      <colorScale>
        <cfvo type="num" val="0"/>
        <cfvo type="num" val="30"/>
        <cfvo type="num" val="60"/>
        <color rgb="FF86EFAC"/>
        <color rgb="FFFEF3C7"/>
        <color rgb="FFFECAC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74" t="s">
        <v>1118</v>
      </c>
      <c r="B1" s="174"/>
      <c r="C1" s="174"/>
      <c r="D1" s="174"/>
      <c r="E1" s="174"/>
      <c r="F1" s="174"/>
      <c r="G1" s="174"/>
      <c r="H1" s="174"/>
      <c r="I1" s="174"/>
    </row>
    <row r="2" customFormat="false" ht="18" hidden="false" customHeight="true" outlineLevel="0" collapsed="false">
      <c r="A2" s="175" t="s">
        <v>1119</v>
      </c>
      <c r="B2" s="175"/>
      <c r="C2" s="175"/>
      <c r="D2" s="175"/>
      <c r="E2" s="175"/>
      <c r="F2" s="175"/>
      <c r="G2" s="175"/>
      <c r="H2" s="175"/>
      <c r="I2" s="175"/>
    </row>
    <row r="4" customFormat="false" ht="30" hidden="false" customHeight="true" outlineLevel="0" collapsed="false">
      <c r="A4" s="176" t="s">
        <v>1120</v>
      </c>
      <c r="B4" s="176" t="s">
        <v>189</v>
      </c>
      <c r="C4" s="176" t="s">
        <v>105</v>
      </c>
      <c r="D4" s="176" t="s">
        <v>543</v>
      </c>
      <c r="E4" s="176" t="s">
        <v>1121</v>
      </c>
      <c r="F4" s="176" t="s">
        <v>190</v>
      </c>
      <c r="G4" s="176" t="s">
        <v>1122</v>
      </c>
      <c r="H4" s="176" t="s">
        <v>1123</v>
      </c>
      <c r="I4" s="176" t="s">
        <v>107</v>
      </c>
    </row>
    <row r="5" customFormat="false" ht="15" hidden="false" customHeight="false" outlineLevel="0" collapsed="false">
      <c r="A5" s="102" t="s">
        <v>192</v>
      </c>
      <c r="B5" s="177" t="s">
        <v>193</v>
      </c>
      <c r="C5" s="177" t="s">
        <v>194</v>
      </c>
      <c r="D5" s="102" t="s">
        <v>11</v>
      </c>
      <c r="E5" s="177" t="s">
        <v>1124</v>
      </c>
      <c r="F5" s="194" t="n">
        <v>46149</v>
      </c>
      <c r="G5" s="102" t="s">
        <v>1125</v>
      </c>
      <c r="H5" s="195" t="n">
        <f aca="false">F5-ReportDate</f>
        <v>-4</v>
      </c>
      <c r="I5" s="186" t="str">
        <f aca="false">IF(H5&lt;0,"Overdue",IF(H5&lt;=7,"Critical",IF(H5&lt;=30,"Upcoming","Scheduled")))</f>
        <v>Overdue</v>
      </c>
    </row>
    <row r="6" customFormat="false" ht="15" hidden="false" customHeight="false" outlineLevel="0" collapsed="false">
      <c r="A6" s="106" t="s">
        <v>196</v>
      </c>
      <c r="B6" s="179" t="s">
        <v>197</v>
      </c>
      <c r="C6" s="179" t="s">
        <v>198</v>
      </c>
      <c r="D6" s="106" t="s">
        <v>11</v>
      </c>
      <c r="E6" s="179" t="s">
        <v>1126</v>
      </c>
      <c r="F6" s="196" t="n">
        <v>46157</v>
      </c>
      <c r="G6" s="106" t="s">
        <v>1125</v>
      </c>
      <c r="H6" s="197" t="n">
        <f aca="false">F6-ReportDate</f>
        <v>4</v>
      </c>
      <c r="I6" s="188" t="str">
        <f aca="false">IF(H6&lt;0,"Overdue",IF(H6&lt;=7,"Critical",IF(H6&lt;=30,"Upcoming","Scheduled")))</f>
        <v>Critical</v>
      </c>
    </row>
    <row r="7" customFormat="false" ht="15" hidden="false" customHeight="false" outlineLevel="0" collapsed="false">
      <c r="A7" s="102" t="s">
        <v>200</v>
      </c>
      <c r="B7" s="177" t="s">
        <v>201</v>
      </c>
      <c r="C7" s="177" t="s">
        <v>202</v>
      </c>
      <c r="D7" s="102" t="s">
        <v>11</v>
      </c>
      <c r="E7" s="177" t="s">
        <v>1127</v>
      </c>
      <c r="F7" s="194" t="n">
        <v>46157</v>
      </c>
      <c r="G7" s="102" t="s">
        <v>1125</v>
      </c>
      <c r="H7" s="195" t="n">
        <f aca="false">F7-ReportDate</f>
        <v>4</v>
      </c>
      <c r="I7" s="186" t="str">
        <f aca="false">IF(H7&lt;0,"Overdue",IF(H7&lt;=7,"Critical",IF(H7&lt;=30,"Upcoming","Scheduled")))</f>
        <v>Critical</v>
      </c>
    </row>
    <row r="8" customFormat="false" ht="15" hidden="false" customHeight="false" outlineLevel="0" collapsed="false">
      <c r="A8" s="106" t="s">
        <v>203</v>
      </c>
      <c r="B8" s="179" t="s">
        <v>204</v>
      </c>
      <c r="C8" s="179" t="s">
        <v>205</v>
      </c>
      <c r="D8" s="106" t="s">
        <v>11</v>
      </c>
      <c r="E8" s="179" t="s">
        <v>1128</v>
      </c>
      <c r="F8" s="196" t="n">
        <v>46162</v>
      </c>
      <c r="G8" s="106" t="s">
        <v>1125</v>
      </c>
      <c r="H8" s="197" t="n">
        <f aca="false">F8-ReportDate</f>
        <v>9</v>
      </c>
      <c r="I8" s="188" t="str">
        <f aca="false">IF(H8&lt;0,"Overdue",IF(H8&lt;=7,"Critical",IF(H8&lt;=30,"Upcoming","Scheduled")))</f>
        <v>Upcoming</v>
      </c>
    </row>
    <row r="9" customFormat="false" ht="15" hidden="false" customHeight="false" outlineLevel="0" collapsed="false">
      <c r="A9" s="102" t="s">
        <v>207</v>
      </c>
      <c r="B9" s="177" t="s">
        <v>208</v>
      </c>
      <c r="C9" s="177" t="s">
        <v>209</v>
      </c>
      <c r="D9" s="102" t="s">
        <v>11</v>
      </c>
      <c r="E9" s="177" t="s">
        <v>1129</v>
      </c>
      <c r="F9" s="194" t="n">
        <v>46165</v>
      </c>
      <c r="G9" s="102" t="s">
        <v>1130</v>
      </c>
      <c r="H9" s="195" t="n">
        <f aca="false">F9-ReportDate</f>
        <v>12</v>
      </c>
      <c r="I9" s="186" t="str">
        <f aca="false">IF(H9&lt;0,"Overdue",IF(H9&lt;=7,"Critical",IF(H9&lt;=30,"Upcoming","Scheduled")))</f>
        <v>Upcoming</v>
      </c>
    </row>
    <row r="10" customFormat="false" ht="15" hidden="false" customHeight="false" outlineLevel="0" collapsed="false">
      <c r="A10" s="106" t="s">
        <v>210</v>
      </c>
      <c r="B10" s="179" t="s">
        <v>211</v>
      </c>
      <c r="C10" s="179" t="s">
        <v>212</v>
      </c>
      <c r="D10" s="106" t="s">
        <v>12</v>
      </c>
      <c r="E10" s="179" t="s">
        <v>1131</v>
      </c>
      <c r="F10" s="196" t="n">
        <v>46168</v>
      </c>
      <c r="G10" s="106" t="s">
        <v>1132</v>
      </c>
      <c r="H10" s="197" t="n">
        <f aca="false">F10-ReportDate</f>
        <v>15</v>
      </c>
      <c r="I10" s="188" t="str">
        <f aca="false">IF(H10&lt;0,"Overdue",IF(H10&lt;=7,"Critical",IF(H10&lt;=30,"Upcoming","Scheduled")))</f>
        <v>Upcoming</v>
      </c>
    </row>
    <row r="11" customFormat="false" ht="15" hidden="false" customHeight="false" outlineLevel="0" collapsed="false">
      <c r="A11" s="102" t="s">
        <v>1133</v>
      </c>
      <c r="B11" s="177" t="s">
        <v>1134</v>
      </c>
      <c r="C11" s="177" t="s">
        <v>205</v>
      </c>
      <c r="D11" s="102" t="s">
        <v>11</v>
      </c>
      <c r="E11" s="177" t="s">
        <v>1128</v>
      </c>
      <c r="F11" s="194" t="n">
        <v>46173</v>
      </c>
      <c r="G11" s="102" t="s">
        <v>1125</v>
      </c>
      <c r="H11" s="195" t="n">
        <f aca="false">F11-ReportDate</f>
        <v>20</v>
      </c>
      <c r="I11" s="186" t="str">
        <f aca="false">IF(H11&lt;0,"Overdue",IF(H11&lt;=7,"Critical",IF(H11&lt;=30,"Upcoming","Scheduled")))</f>
        <v>Upcoming</v>
      </c>
    </row>
    <row r="12" customFormat="false" ht="15" hidden="false" customHeight="false" outlineLevel="0" collapsed="false">
      <c r="A12" s="106" t="s">
        <v>1135</v>
      </c>
      <c r="B12" s="179" t="s">
        <v>1136</v>
      </c>
      <c r="C12" s="179" t="s">
        <v>194</v>
      </c>
      <c r="D12" s="106" t="s">
        <v>11</v>
      </c>
      <c r="E12" s="179" t="s">
        <v>1124</v>
      </c>
      <c r="F12" s="196" t="n">
        <v>46174</v>
      </c>
      <c r="G12" s="106" t="s">
        <v>1132</v>
      </c>
      <c r="H12" s="197" t="n">
        <f aca="false">F12-ReportDate</f>
        <v>21</v>
      </c>
      <c r="I12" s="188" t="str">
        <f aca="false">IF(H12&lt;0,"Overdue",IF(H12&lt;=7,"Critical",IF(H12&lt;=30,"Upcoming","Scheduled")))</f>
        <v>Upcoming</v>
      </c>
    </row>
    <row r="13" customFormat="false" ht="15" hidden="false" customHeight="false" outlineLevel="0" collapsed="false">
      <c r="A13" s="102" t="s">
        <v>1137</v>
      </c>
      <c r="B13" s="177" t="s">
        <v>1138</v>
      </c>
      <c r="C13" s="177" t="s">
        <v>1139</v>
      </c>
      <c r="D13" s="102" t="s">
        <v>12</v>
      </c>
      <c r="E13" s="177" t="s">
        <v>1140</v>
      </c>
      <c r="F13" s="194" t="n">
        <v>46174</v>
      </c>
      <c r="G13" s="102" t="s">
        <v>1132</v>
      </c>
      <c r="H13" s="195" t="n">
        <f aca="false">F13-ReportDate</f>
        <v>21</v>
      </c>
      <c r="I13" s="186" t="str">
        <f aca="false">IF(H13&lt;0,"Overdue",IF(H13&lt;=7,"Critical",IF(H13&lt;=30,"Upcoming","Scheduled")))</f>
        <v>Upcoming</v>
      </c>
    </row>
    <row r="14" customFormat="false" ht="15" hidden="false" customHeight="false" outlineLevel="0" collapsed="false">
      <c r="A14" s="106" t="s">
        <v>1141</v>
      </c>
      <c r="B14" s="179" t="s">
        <v>1142</v>
      </c>
      <c r="C14" s="179" t="s">
        <v>1143</v>
      </c>
      <c r="D14" s="106" t="s">
        <v>12</v>
      </c>
      <c r="E14" s="179" t="s">
        <v>1144</v>
      </c>
      <c r="F14" s="196" t="n">
        <v>46183</v>
      </c>
      <c r="G14" s="106" t="s">
        <v>1132</v>
      </c>
      <c r="H14" s="197" t="n">
        <f aca="false">F14-ReportDate</f>
        <v>30</v>
      </c>
      <c r="I14" s="188" t="str">
        <f aca="false">IF(H14&lt;0,"Overdue",IF(H14&lt;=7,"Critical",IF(H14&lt;=30,"Upcoming","Scheduled")))</f>
        <v>Upcoming</v>
      </c>
    </row>
    <row r="15" customFormat="false" ht="15" hidden="false" customHeight="false" outlineLevel="0" collapsed="false">
      <c r="A15" s="102" t="s">
        <v>1145</v>
      </c>
      <c r="B15" s="177" t="s">
        <v>1146</v>
      </c>
      <c r="C15" s="177" t="s">
        <v>1147</v>
      </c>
      <c r="D15" s="102" t="s">
        <v>11</v>
      </c>
      <c r="E15" s="177" t="s">
        <v>1128</v>
      </c>
      <c r="F15" s="194" t="n">
        <v>46195</v>
      </c>
      <c r="G15" s="102" t="s">
        <v>1148</v>
      </c>
      <c r="H15" s="195" t="n">
        <f aca="false">F15-ReportDate</f>
        <v>42</v>
      </c>
      <c r="I15" s="186" t="str">
        <f aca="false">IF(H15&lt;0,"Overdue",IF(H15&lt;=7,"Critical",IF(H15&lt;=30,"Upcoming","Scheduled")))</f>
        <v>Scheduled</v>
      </c>
    </row>
    <row r="16" customFormat="false" ht="15" hidden="false" customHeight="false" outlineLevel="0" collapsed="false">
      <c r="A16" s="106" t="s">
        <v>1149</v>
      </c>
      <c r="B16" s="179" t="s">
        <v>1150</v>
      </c>
      <c r="C16" s="179" t="s">
        <v>194</v>
      </c>
      <c r="D16" s="106" t="s">
        <v>11</v>
      </c>
      <c r="E16" s="179" t="s">
        <v>1124</v>
      </c>
      <c r="F16" s="196" t="n">
        <v>46198</v>
      </c>
      <c r="G16" s="106" t="s">
        <v>1151</v>
      </c>
      <c r="H16" s="197" t="n">
        <f aca="false">F16-ReportDate</f>
        <v>45</v>
      </c>
      <c r="I16" s="188" t="str">
        <f aca="false">IF(H16&lt;0,"Overdue",IF(H16&lt;=7,"Critical",IF(H16&lt;=30,"Upcoming","Scheduled")))</f>
        <v>Scheduled</v>
      </c>
    </row>
    <row r="17" customFormat="false" ht="15" hidden="false" customHeight="false" outlineLevel="0" collapsed="false">
      <c r="A17" s="102" t="s">
        <v>1152</v>
      </c>
      <c r="B17" s="177" t="s">
        <v>1153</v>
      </c>
      <c r="C17" s="177" t="s">
        <v>1154</v>
      </c>
      <c r="D17" s="102" t="s">
        <v>12</v>
      </c>
      <c r="E17" s="177" t="s">
        <v>1155</v>
      </c>
      <c r="F17" s="194" t="n">
        <v>46208</v>
      </c>
      <c r="G17" s="102" t="s">
        <v>1151</v>
      </c>
      <c r="H17" s="195" t="n">
        <f aca="false">F17-ReportDate</f>
        <v>55</v>
      </c>
      <c r="I17" s="186" t="str">
        <f aca="false">IF(H17&lt;0,"Overdue",IF(H17&lt;=7,"Critical",IF(H17&lt;=30,"Upcoming","Scheduled")))</f>
        <v>Scheduled</v>
      </c>
    </row>
    <row r="18" customFormat="false" ht="15" hidden="false" customHeight="false" outlineLevel="0" collapsed="false">
      <c r="A18" s="106" t="s">
        <v>1156</v>
      </c>
      <c r="B18" s="179" t="s">
        <v>1157</v>
      </c>
      <c r="C18" s="179" t="s">
        <v>1158</v>
      </c>
      <c r="D18" s="106" t="s">
        <v>11</v>
      </c>
      <c r="E18" s="179" t="s">
        <v>1159</v>
      </c>
      <c r="F18" s="196" t="n">
        <v>46213</v>
      </c>
      <c r="G18" s="106" t="s">
        <v>1151</v>
      </c>
      <c r="H18" s="197" t="n">
        <f aca="false">F18-ReportDate</f>
        <v>60</v>
      </c>
      <c r="I18" s="188" t="str">
        <f aca="false">IF(H18&lt;0,"Overdue",IF(H18&lt;=7,"Critical",IF(H18&lt;=30,"Upcoming","Scheduled")))</f>
        <v>Scheduled</v>
      </c>
    </row>
    <row r="19" customFormat="false" ht="15" hidden="false" customHeight="false" outlineLevel="0" collapsed="false">
      <c r="A19" s="102" t="s">
        <v>1160</v>
      </c>
      <c r="B19" s="177" t="s">
        <v>1161</v>
      </c>
      <c r="C19" s="177" t="s">
        <v>1162</v>
      </c>
      <c r="D19" s="102" t="s">
        <v>12</v>
      </c>
      <c r="E19" s="177" t="s">
        <v>1140</v>
      </c>
      <c r="F19" s="194" t="n">
        <v>46221</v>
      </c>
      <c r="G19" s="102" t="s">
        <v>1151</v>
      </c>
      <c r="H19" s="195" t="n">
        <f aca="false">F19-ReportDate</f>
        <v>68</v>
      </c>
      <c r="I19" s="186" t="str">
        <f aca="false">IF(H19&lt;0,"Overdue",IF(H19&lt;=7,"Critical",IF(H19&lt;=30,"Upcoming","Scheduled")))</f>
        <v>Scheduled</v>
      </c>
    </row>
    <row r="20" customFormat="false" ht="15" hidden="false" customHeight="false" outlineLevel="0" collapsed="false">
      <c r="A20" s="106" t="s">
        <v>1163</v>
      </c>
      <c r="B20" s="179" t="s">
        <v>1164</v>
      </c>
      <c r="C20" s="179" t="s">
        <v>1139</v>
      </c>
      <c r="D20" s="106" t="s">
        <v>12</v>
      </c>
      <c r="E20" s="179" t="s">
        <v>1140</v>
      </c>
      <c r="F20" s="196" t="n">
        <v>46228</v>
      </c>
      <c r="G20" s="106" t="s">
        <v>1151</v>
      </c>
      <c r="H20" s="197" t="n">
        <f aca="false">F20-ReportDate</f>
        <v>75</v>
      </c>
      <c r="I20" s="188" t="str">
        <f aca="false">IF(H20&lt;0,"Overdue",IF(H20&lt;=7,"Critical",IF(H20&lt;=30,"Upcoming","Scheduled")))</f>
        <v>Scheduled</v>
      </c>
    </row>
    <row r="21" customFormat="false" ht="15" hidden="false" customHeight="false" outlineLevel="0" collapsed="false">
      <c r="A21" s="102" t="s">
        <v>1165</v>
      </c>
      <c r="B21" s="177" t="s">
        <v>1166</v>
      </c>
      <c r="C21" s="177" t="s">
        <v>1167</v>
      </c>
      <c r="D21" s="102" t="s">
        <v>11</v>
      </c>
      <c r="E21" s="177" t="s">
        <v>1168</v>
      </c>
      <c r="F21" s="194" t="n">
        <v>46238</v>
      </c>
      <c r="G21" s="102" t="s">
        <v>1151</v>
      </c>
      <c r="H21" s="195" t="n">
        <f aca="false">F21-ReportDate</f>
        <v>85</v>
      </c>
      <c r="I21" s="186" t="str">
        <f aca="false">IF(H21&lt;0,"Overdue",IF(H21&lt;=7,"Critical",IF(H21&lt;=30,"Upcoming","Scheduled")))</f>
        <v>Scheduled</v>
      </c>
    </row>
    <row r="22" customFormat="false" ht="15" hidden="false" customHeight="false" outlineLevel="0" collapsed="false">
      <c r="A22" s="106" t="s">
        <v>1169</v>
      </c>
      <c r="B22" s="179" t="s">
        <v>1170</v>
      </c>
      <c r="C22" s="179" t="s">
        <v>1171</v>
      </c>
      <c r="D22" s="106" t="s">
        <v>11</v>
      </c>
      <c r="E22" s="179" t="s">
        <v>1172</v>
      </c>
      <c r="F22" s="196" t="n">
        <v>46273</v>
      </c>
      <c r="G22" s="106" t="s">
        <v>1151</v>
      </c>
      <c r="H22" s="197" t="n">
        <f aca="false">F22-ReportDate</f>
        <v>120</v>
      </c>
      <c r="I22" s="188" t="str">
        <f aca="false">IF(H22&lt;0,"Overdue",IF(H22&lt;=7,"Critical",IF(H22&lt;=30,"Upcoming","Scheduled")))</f>
        <v>Scheduled</v>
      </c>
    </row>
  </sheetData>
  <mergeCells count="2">
    <mergeCell ref="A1:I1"/>
    <mergeCell ref="A2:I2"/>
  </mergeCells>
  <conditionalFormatting sqref="I5:I22">
    <cfRule type="expression" priority="2" aboveAverage="0" equalAverage="0" bottom="0" percent="0" rank="0" text="" dxfId="29">
      <formula>$I5="Overdue"</formula>
    </cfRule>
    <cfRule type="expression" priority="3" aboveAverage="0" equalAverage="0" bottom="0" percent="0" rank="0" text="" dxfId="23">
      <formula>$I5="Critical"</formula>
    </cfRule>
    <cfRule type="expression" priority="4" aboveAverage="0" equalAverage="0" bottom="0" percent="0" rank="0" text="" dxfId="24">
      <formula>$I5="Upcoming"</formula>
    </cfRule>
    <cfRule type="expression" priority="5" aboveAverage="0" equalAverage="0" bottom="0" percent="0" rank="0" text="" dxfId="25">
      <formula>$I5="Scheduled"</formula>
    </cfRule>
  </conditionalFormatting>
  <conditionalFormatting sqref="H5:H22">
    <cfRule type="colorScale" priority="6">
      <colorScale>
        <cfvo type="num" val="-5"/>
        <cfvo type="num" val="15"/>
        <cfvo type="num" val="90"/>
        <color rgb="FF991B1B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true"/>
  </sheetPr>
  <dimension ref="A1:I7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9" min="8" style="0" width="13"/>
  </cols>
  <sheetData>
    <row r="1" customFormat="false" ht="27.75" hidden="false" customHeight="true" outlineLevel="0" collapsed="false">
      <c r="A1" s="174" t="s">
        <v>1173</v>
      </c>
      <c r="B1" s="174"/>
      <c r="C1" s="174"/>
      <c r="D1" s="174"/>
      <c r="E1" s="174"/>
      <c r="F1" s="174"/>
      <c r="G1" s="174"/>
      <c r="H1" s="174"/>
      <c r="I1" s="174"/>
    </row>
    <row r="2" customFormat="false" ht="18" hidden="false" customHeight="true" outlineLevel="0" collapsed="false">
      <c r="A2" s="175" t="s">
        <v>1174</v>
      </c>
      <c r="B2" s="175"/>
      <c r="C2" s="175"/>
      <c r="D2" s="175"/>
      <c r="E2" s="175"/>
      <c r="F2" s="175"/>
      <c r="G2" s="175"/>
      <c r="H2" s="175"/>
      <c r="I2" s="175"/>
    </row>
    <row r="4" customFormat="false" ht="21.75" hidden="false" customHeight="true" outlineLevel="0" collapsed="false">
      <c r="A4" s="192" t="s">
        <v>1175</v>
      </c>
      <c r="B4" s="192"/>
      <c r="C4" s="192"/>
      <c r="D4" s="192"/>
      <c r="E4" s="192"/>
      <c r="F4" s="192"/>
      <c r="G4" s="192"/>
      <c r="H4" s="192"/>
      <c r="I4" s="192"/>
    </row>
    <row r="5" customFormat="false" ht="27.75" hidden="false" customHeight="true" outlineLevel="0" collapsed="false">
      <c r="A5" s="193" t="s">
        <v>1176</v>
      </c>
      <c r="B5" s="193" t="s">
        <v>189</v>
      </c>
      <c r="C5" s="193" t="s">
        <v>105</v>
      </c>
      <c r="D5" s="193" t="s">
        <v>1177</v>
      </c>
      <c r="E5" s="193" t="s">
        <v>1178</v>
      </c>
      <c r="F5" s="193" t="s">
        <v>572</v>
      </c>
      <c r="G5" s="193" t="s">
        <v>1179</v>
      </c>
      <c r="H5" s="193" t="s">
        <v>601</v>
      </c>
      <c r="I5" s="193" t="s">
        <v>1180</v>
      </c>
    </row>
    <row r="6" customFormat="false" ht="15" hidden="false" customHeight="false" outlineLevel="0" collapsed="false">
      <c r="A6" s="102" t="s">
        <v>1181</v>
      </c>
      <c r="B6" s="177" t="s">
        <v>1182</v>
      </c>
      <c r="C6" s="177" t="s">
        <v>1183</v>
      </c>
      <c r="D6" s="102" t="n">
        <v>40</v>
      </c>
      <c r="E6" s="102" t="s">
        <v>1184</v>
      </c>
      <c r="F6" s="177" t="s">
        <v>1185</v>
      </c>
      <c r="G6" s="102" t="n">
        <f aca="false">COUNTIF($F$18:$F$731,"Leadership Excellence Program")</f>
        <v>71</v>
      </c>
      <c r="H6" s="102" t="n">
        <f aca="false">COUNTIFS($F$18:$F$731,"Leadership Excellence Program",$I$18:$I$731,"Completed")</f>
        <v>50</v>
      </c>
      <c r="I6" s="190" t="n">
        <f aca="false">IFERROR(H6/G6,0)</f>
        <v>0.704225352112676</v>
      </c>
    </row>
    <row r="7" customFormat="false" ht="15" hidden="false" customHeight="false" outlineLevel="0" collapsed="false">
      <c r="A7" s="106" t="s">
        <v>1186</v>
      </c>
      <c r="B7" s="179" t="s">
        <v>1187</v>
      </c>
      <c r="C7" s="179" t="s">
        <v>1188</v>
      </c>
      <c r="D7" s="106" t="n">
        <v>4</v>
      </c>
      <c r="E7" s="106" t="s">
        <v>1189</v>
      </c>
      <c r="F7" s="179" t="s">
        <v>1190</v>
      </c>
      <c r="G7" s="106" t="n">
        <f aca="false">COUNTIF($F$18:$F$731,"Workplace Safety &amp; POSH")</f>
        <v>116</v>
      </c>
      <c r="H7" s="106" t="n">
        <f aca="false">COUNTIFS($F$18:$F$731,"Workplace Safety &amp; POSH",$I$18:$I$731,"Completed")</f>
        <v>79</v>
      </c>
      <c r="I7" s="191" t="n">
        <f aca="false">IFERROR(H7/G7,0)</f>
        <v>0.681034482758621</v>
      </c>
    </row>
    <row r="8" customFormat="false" ht="15" hidden="false" customHeight="false" outlineLevel="0" collapsed="false">
      <c r="A8" s="102" t="s">
        <v>1191</v>
      </c>
      <c r="B8" s="177" t="s">
        <v>1192</v>
      </c>
      <c r="C8" s="177" t="s">
        <v>1193</v>
      </c>
      <c r="D8" s="102" t="n">
        <v>24</v>
      </c>
      <c r="E8" s="102" t="s">
        <v>1184</v>
      </c>
      <c r="F8" s="177" t="s">
        <v>15</v>
      </c>
      <c r="G8" s="102" t="n">
        <f aca="false">COUNTIF($F$18:$F$731,"Cloud Computing - AWS Foundation")</f>
        <v>74</v>
      </c>
      <c r="H8" s="102" t="n">
        <f aca="false">COUNTIFS($F$18:$F$731,"Cloud Computing - AWS Foundation",$I$18:$I$731,"Completed")</f>
        <v>56</v>
      </c>
      <c r="I8" s="190" t="n">
        <f aca="false">IFERROR(H8/G8,0)</f>
        <v>0.756756756756757</v>
      </c>
    </row>
    <row r="9" customFormat="false" ht="15" hidden="false" customHeight="false" outlineLevel="0" collapsed="false">
      <c r="A9" s="106" t="s">
        <v>1194</v>
      </c>
      <c r="B9" s="179" t="s">
        <v>1195</v>
      </c>
      <c r="C9" s="179" t="s">
        <v>1196</v>
      </c>
      <c r="D9" s="106" t="n">
        <v>16</v>
      </c>
      <c r="E9" s="106" t="s">
        <v>1184</v>
      </c>
      <c r="F9" s="179" t="s">
        <v>1197</v>
      </c>
      <c r="G9" s="106" t="n">
        <f aca="false">COUNTIF($F$18:$F$731,"Customer Communication Skills")</f>
        <v>71</v>
      </c>
      <c r="H9" s="106" t="n">
        <f aca="false">COUNTIFS($F$18:$F$731,"Customer Communication Skills",$I$18:$I$731,"Completed")</f>
        <v>54</v>
      </c>
      <c r="I9" s="191" t="n">
        <f aca="false">IFERROR(H9/G9,0)</f>
        <v>0.76056338028169</v>
      </c>
    </row>
    <row r="10" customFormat="false" ht="15" hidden="false" customHeight="false" outlineLevel="0" collapsed="false">
      <c r="A10" s="102" t="s">
        <v>1198</v>
      </c>
      <c r="B10" s="177" t="s">
        <v>1199</v>
      </c>
      <c r="C10" s="177" t="s">
        <v>1188</v>
      </c>
      <c r="D10" s="102" t="n">
        <v>6</v>
      </c>
      <c r="E10" s="102" t="s">
        <v>1189</v>
      </c>
      <c r="F10" s="177" t="s">
        <v>1190</v>
      </c>
      <c r="G10" s="102" t="n">
        <f aca="false">COUNTIF($F$18:$F$731,"Data Privacy &amp; GDPR")</f>
        <v>116</v>
      </c>
      <c r="H10" s="102" t="n">
        <f aca="false">COUNTIFS($F$18:$F$731,"Data Privacy &amp; GDPR",$I$18:$I$731,"Completed")</f>
        <v>79</v>
      </c>
      <c r="I10" s="190" t="n">
        <f aca="false">IFERROR(H10/G10,0)</f>
        <v>0.681034482758621</v>
      </c>
    </row>
    <row r="11" customFormat="false" ht="15" hidden="false" customHeight="false" outlineLevel="0" collapsed="false">
      <c r="A11" s="106" t="s">
        <v>1200</v>
      </c>
      <c r="B11" s="179" t="s">
        <v>1201</v>
      </c>
      <c r="C11" s="179" t="s">
        <v>20</v>
      </c>
      <c r="D11" s="106" t="n">
        <v>20</v>
      </c>
      <c r="E11" s="106" t="s">
        <v>1184</v>
      </c>
      <c r="F11" s="179" t="s">
        <v>1202</v>
      </c>
      <c r="G11" s="106" t="n">
        <f aca="false">COUNTIF($F$18:$F$731,"Sales Negotiation Mastery")</f>
        <v>77</v>
      </c>
      <c r="H11" s="106" t="n">
        <f aca="false">COUNTIFS($F$18:$F$731,"Sales Negotiation Mastery",$I$18:$I$731,"Completed")</f>
        <v>48</v>
      </c>
      <c r="I11" s="191" t="n">
        <f aca="false">IFERROR(H11/G11,0)</f>
        <v>0.623376623376623</v>
      </c>
    </row>
    <row r="12" customFormat="false" ht="15" hidden="false" customHeight="false" outlineLevel="0" collapsed="false">
      <c r="A12" s="102" t="s">
        <v>1203</v>
      </c>
      <c r="B12" s="177" t="s">
        <v>1204</v>
      </c>
      <c r="C12" s="177" t="s">
        <v>1205</v>
      </c>
      <c r="D12" s="102" t="n">
        <v>32</v>
      </c>
      <c r="E12" s="102" t="s">
        <v>1184</v>
      </c>
      <c r="F12" s="177" t="s">
        <v>1206</v>
      </c>
      <c r="G12" s="102" t="n">
        <f aca="false">COUNTIF($F$18:$F$731,"Agile &amp; Scrum Certification")</f>
        <v>73</v>
      </c>
      <c r="H12" s="102" t="n">
        <f aca="false">COUNTIFS($F$18:$F$731,"Agile &amp; Scrum Certification",$I$18:$I$731,"Completed")</f>
        <v>48</v>
      </c>
      <c r="I12" s="190" t="n">
        <f aca="false">IFERROR(H12/G12,0)</f>
        <v>0.657534246575342</v>
      </c>
    </row>
    <row r="13" customFormat="false" ht="15" hidden="false" customHeight="false" outlineLevel="0" collapsed="false">
      <c r="A13" s="106" t="s">
        <v>1207</v>
      </c>
      <c r="B13" s="179" t="s">
        <v>1208</v>
      </c>
      <c r="C13" s="179" t="s">
        <v>1209</v>
      </c>
      <c r="D13" s="106" t="n">
        <v>8</v>
      </c>
      <c r="E13" s="106" t="s">
        <v>1189</v>
      </c>
      <c r="F13" s="179" t="s">
        <v>1190</v>
      </c>
      <c r="G13" s="106" t="n">
        <f aca="false">COUNTIF($F$18:$F$731,"Diversity &amp; Inclusion Workshop")</f>
        <v>116</v>
      </c>
      <c r="H13" s="106" t="n">
        <f aca="false">COUNTIFS($F$18:$F$731,"Diversity &amp; Inclusion Workshop",$I$18:$I$731,"Completed")</f>
        <v>72</v>
      </c>
      <c r="I13" s="191" t="n">
        <f aca="false">IFERROR(H13/G13,0)</f>
        <v>0.620689655172414</v>
      </c>
    </row>
    <row r="16" customFormat="false" ht="21.75" hidden="false" customHeight="true" outlineLevel="0" collapsed="false">
      <c r="A16" s="192" t="s">
        <v>1210</v>
      </c>
      <c r="B16" s="192"/>
      <c r="C16" s="192"/>
      <c r="D16" s="192"/>
      <c r="E16" s="192"/>
      <c r="F16" s="192"/>
      <c r="G16" s="192"/>
      <c r="H16" s="192"/>
      <c r="I16" s="192"/>
    </row>
    <row r="17" customFormat="false" ht="27.75" hidden="false" customHeight="true" outlineLevel="0" collapsed="false">
      <c r="A17" s="193" t="s">
        <v>1211</v>
      </c>
      <c r="B17" s="193" t="s">
        <v>50</v>
      </c>
      <c r="C17" s="193" t="s">
        <v>51</v>
      </c>
      <c r="D17" s="193" t="s">
        <v>543</v>
      </c>
      <c r="E17" s="193" t="s">
        <v>52</v>
      </c>
      <c r="F17" s="193" t="s">
        <v>1212</v>
      </c>
      <c r="G17" s="193" t="s">
        <v>105</v>
      </c>
      <c r="H17" s="193" t="s">
        <v>1180</v>
      </c>
      <c r="I17" s="193" t="s">
        <v>107</v>
      </c>
    </row>
    <row r="18" customFormat="false" ht="15" hidden="false" customHeight="false" outlineLevel="0" collapsed="false">
      <c r="A18" s="102" t="s">
        <v>1213</v>
      </c>
      <c r="B18" s="102" t="s">
        <v>291</v>
      </c>
      <c r="C18" s="177" t="s">
        <v>292</v>
      </c>
      <c r="D18" s="102" t="s">
        <v>11</v>
      </c>
      <c r="E18" s="177" t="s">
        <v>15</v>
      </c>
      <c r="F18" s="177" t="s">
        <v>1187</v>
      </c>
      <c r="G18" s="177" t="s">
        <v>1188</v>
      </c>
      <c r="H18" s="190" t="n">
        <v>1</v>
      </c>
      <c r="I18" s="102" t="s">
        <v>601</v>
      </c>
    </row>
    <row r="19" customFormat="false" ht="15" hidden="false" customHeight="false" outlineLevel="0" collapsed="false">
      <c r="A19" s="106" t="s">
        <v>1214</v>
      </c>
      <c r="B19" s="106" t="s">
        <v>291</v>
      </c>
      <c r="C19" s="179" t="s">
        <v>292</v>
      </c>
      <c r="D19" s="106" t="s">
        <v>11</v>
      </c>
      <c r="E19" s="179" t="s">
        <v>15</v>
      </c>
      <c r="F19" s="179" t="s">
        <v>1199</v>
      </c>
      <c r="G19" s="179" t="s">
        <v>1188</v>
      </c>
      <c r="H19" s="191" t="n">
        <v>1</v>
      </c>
      <c r="I19" s="106" t="s">
        <v>601</v>
      </c>
    </row>
    <row r="20" customFormat="false" ht="15" hidden="false" customHeight="false" outlineLevel="0" collapsed="false">
      <c r="A20" s="102" t="s">
        <v>1215</v>
      </c>
      <c r="B20" s="102" t="s">
        <v>291</v>
      </c>
      <c r="C20" s="177" t="s">
        <v>292</v>
      </c>
      <c r="D20" s="102" t="s">
        <v>11</v>
      </c>
      <c r="E20" s="177" t="s">
        <v>15</v>
      </c>
      <c r="F20" s="177" t="s">
        <v>1208</v>
      </c>
      <c r="G20" s="177" t="s">
        <v>1209</v>
      </c>
      <c r="H20" s="190" t="n">
        <v>1</v>
      </c>
      <c r="I20" s="102" t="s">
        <v>601</v>
      </c>
    </row>
    <row r="21" customFormat="false" ht="15" hidden="false" customHeight="false" outlineLevel="0" collapsed="false">
      <c r="A21" s="106" t="s">
        <v>1216</v>
      </c>
      <c r="B21" s="106" t="s">
        <v>291</v>
      </c>
      <c r="C21" s="179" t="s">
        <v>292</v>
      </c>
      <c r="D21" s="106" t="s">
        <v>11</v>
      </c>
      <c r="E21" s="179" t="s">
        <v>15</v>
      </c>
      <c r="F21" s="179" t="s">
        <v>1201</v>
      </c>
      <c r="G21" s="179" t="s">
        <v>20</v>
      </c>
      <c r="H21" s="191" t="n">
        <v>0.5</v>
      </c>
      <c r="I21" s="106" t="s">
        <v>1217</v>
      </c>
    </row>
    <row r="22" customFormat="false" ht="15" hidden="false" customHeight="false" outlineLevel="0" collapsed="false">
      <c r="A22" s="102" t="s">
        <v>1218</v>
      </c>
      <c r="B22" s="102" t="s">
        <v>291</v>
      </c>
      <c r="C22" s="177" t="s">
        <v>292</v>
      </c>
      <c r="D22" s="102" t="s">
        <v>11</v>
      </c>
      <c r="E22" s="177" t="s">
        <v>15</v>
      </c>
      <c r="F22" s="177" t="s">
        <v>1182</v>
      </c>
      <c r="G22" s="177" t="s">
        <v>1183</v>
      </c>
      <c r="H22" s="190" t="n">
        <v>1</v>
      </c>
      <c r="I22" s="102" t="s">
        <v>601</v>
      </c>
    </row>
    <row r="23" customFormat="false" ht="15" hidden="false" customHeight="false" outlineLevel="0" collapsed="false">
      <c r="A23" s="106" t="s">
        <v>1219</v>
      </c>
      <c r="B23" s="106" t="s">
        <v>296</v>
      </c>
      <c r="C23" s="179" t="s">
        <v>297</v>
      </c>
      <c r="D23" s="106" t="s">
        <v>11</v>
      </c>
      <c r="E23" s="179" t="s">
        <v>16</v>
      </c>
      <c r="F23" s="179" t="s">
        <v>1187</v>
      </c>
      <c r="G23" s="179" t="s">
        <v>1188</v>
      </c>
      <c r="H23" s="191" t="n">
        <v>0.5</v>
      </c>
      <c r="I23" s="106" t="s">
        <v>1217</v>
      </c>
    </row>
    <row r="24" customFormat="false" ht="15" hidden="false" customHeight="false" outlineLevel="0" collapsed="false">
      <c r="A24" s="102" t="s">
        <v>1220</v>
      </c>
      <c r="B24" s="102" t="s">
        <v>296</v>
      </c>
      <c r="C24" s="177" t="s">
        <v>297</v>
      </c>
      <c r="D24" s="102" t="s">
        <v>11</v>
      </c>
      <c r="E24" s="177" t="s">
        <v>16</v>
      </c>
      <c r="F24" s="177" t="s">
        <v>1199</v>
      </c>
      <c r="G24" s="177" t="s">
        <v>1188</v>
      </c>
      <c r="H24" s="190" t="n">
        <v>0.5</v>
      </c>
      <c r="I24" s="102" t="s">
        <v>1217</v>
      </c>
    </row>
    <row r="25" customFormat="false" ht="15" hidden="false" customHeight="false" outlineLevel="0" collapsed="false">
      <c r="A25" s="106" t="s">
        <v>1221</v>
      </c>
      <c r="B25" s="106" t="s">
        <v>296</v>
      </c>
      <c r="C25" s="179" t="s">
        <v>297</v>
      </c>
      <c r="D25" s="106" t="s">
        <v>11</v>
      </c>
      <c r="E25" s="179" t="s">
        <v>16</v>
      </c>
      <c r="F25" s="179" t="s">
        <v>1208</v>
      </c>
      <c r="G25" s="179" t="s">
        <v>1209</v>
      </c>
      <c r="H25" s="191" t="n">
        <v>0</v>
      </c>
      <c r="I25" s="106" t="s">
        <v>1222</v>
      </c>
    </row>
    <row r="26" customFormat="false" ht="15" hidden="false" customHeight="false" outlineLevel="0" collapsed="false">
      <c r="A26" s="102" t="s">
        <v>1223</v>
      </c>
      <c r="B26" s="102" t="s">
        <v>296</v>
      </c>
      <c r="C26" s="177" t="s">
        <v>297</v>
      </c>
      <c r="D26" s="102" t="s">
        <v>11</v>
      </c>
      <c r="E26" s="177" t="s">
        <v>16</v>
      </c>
      <c r="F26" s="177" t="s">
        <v>1201</v>
      </c>
      <c r="G26" s="177" t="s">
        <v>20</v>
      </c>
      <c r="H26" s="190" t="n">
        <v>1</v>
      </c>
      <c r="I26" s="102" t="s">
        <v>601</v>
      </c>
    </row>
    <row r="27" customFormat="false" ht="15" hidden="false" customHeight="false" outlineLevel="0" collapsed="false">
      <c r="A27" s="106" t="s">
        <v>1224</v>
      </c>
      <c r="B27" s="106" t="s">
        <v>296</v>
      </c>
      <c r="C27" s="179" t="s">
        <v>297</v>
      </c>
      <c r="D27" s="106" t="s">
        <v>11</v>
      </c>
      <c r="E27" s="179" t="s">
        <v>16</v>
      </c>
      <c r="F27" s="179" t="s">
        <v>1195</v>
      </c>
      <c r="G27" s="179" t="s">
        <v>1196</v>
      </c>
      <c r="H27" s="191" t="n">
        <v>1</v>
      </c>
      <c r="I27" s="106" t="s">
        <v>601</v>
      </c>
    </row>
    <row r="28" customFormat="false" ht="15" hidden="false" customHeight="false" outlineLevel="0" collapsed="false">
      <c r="A28" s="102" t="s">
        <v>1225</v>
      </c>
      <c r="B28" s="102" t="s">
        <v>296</v>
      </c>
      <c r="C28" s="177" t="s">
        <v>297</v>
      </c>
      <c r="D28" s="102" t="s">
        <v>11</v>
      </c>
      <c r="E28" s="177" t="s">
        <v>16</v>
      </c>
      <c r="F28" s="177" t="s">
        <v>1192</v>
      </c>
      <c r="G28" s="177" t="s">
        <v>1193</v>
      </c>
      <c r="H28" s="190" t="n">
        <v>0.25</v>
      </c>
      <c r="I28" s="102" t="s">
        <v>1222</v>
      </c>
    </row>
    <row r="29" customFormat="false" ht="15" hidden="false" customHeight="false" outlineLevel="0" collapsed="false">
      <c r="A29" s="106" t="s">
        <v>1226</v>
      </c>
      <c r="B29" s="106" t="s">
        <v>300</v>
      </c>
      <c r="C29" s="179" t="s">
        <v>109</v>
      </c>
      <c r="D29" s="106" t="s">
        <v>11</v>
      </c>
      <c r="E29" s="179" t="s">
        <v>20</v>
      </c>
      <c r="F29" s="179" t="s">
        <v>1187</v>
      </c>
      <c r="G29" s="179" t="s">
        <v>1188</v>
      </c>
      <c r="H29" s="191" t="n">
        <v>1</v>
      </c>
      <c r="I29" s="106" t="s">
        <v>601</v>
      </c>
    </row>
    <row r="30" customFormat="false" ht="15" hidden="false" customHeight="false" outlineLevel="0" collapsed="false">
      <c r="A30" s="102" t="s">
        <v>1227</v>
      </c>
      <c r="B30" s="102" t="s">
        <v>300</v>
      </c>
      <c r="C30" s="177" t="s">
        <v>109</v>
      </c>
      <c r="D30" s="102" t="s">
        <v>11</v>
      </c>
      <c r="E30" s="177" t="s">
        <v>20</v>
      </c>
      <c r="F30" s="177" t="s">
        <v>1199</v>
      </c>
      <c r="G30" s="177" t="s">
        <v>1188</v>
      </c>
      <c r="H30" s="190" t="n">
        <v>1</v>
      </c>
      <c r="I30" s="102" t="s">
        <v>601</v>
      </c>
    </row>
    <row r="31" customFormat="false" ht="15" hidden="false" customHeight="false" outlineLevel="0" collapsed="false">
      <c r="A31" s="106" t="s">
        <v>1228</v>
      </c>
      <c r="B31" s="106" t="s">
        <v>300</v>
      </c>
      <c r="C31" s="179" t="s">
        <v>109</v>
      </c>
      <c r="D31" s="106" t="s">
        <v>11</v>
      </c>
      <c r="E31" s="179" t="s">
        <v>20</v>
      </c>
      <c r="F31" s="179" t="s">
        <v>1208</v>
      </c>
      <c r="G31" s="179" t="s">
        <v>1209</v>
      </c>
      <c r="H31" s="191" t="n">
        <v>1</v>
      </c>
      <c r="I31" s="106" t="s">
        <v>601</v>
      </c>
    </row>
    <row r="32" customFormat="false" ht="15" hidden="false" customHeight="false" outlineLevel="0" collapsed="false">
      <c r="A32" s="102" t="s">
        <v>1229</v>
      </c>
      <c r="B32" s="102" t="s">
        <v>300</v>
      </c>
      <c r="C32" s="177" t="s">
        <v>109</v>
      </c>
      <c r="D32" s="102" t="s">
        <v>11</v>
      </c>
      <c r="E32" s="177" t="s">
        <v>20</v>
      </c>
      <c r="F32" s="177" t="s">
        <v>1201</v>
      </c>
      <c r="G32" s="177" t="s">
        <v>20</v>
      </c>
      <c r="H32" s="190" t="n">
        <v>0.75</v>
      </c>
      <c r="I32" s="102" t="s">
        <v>1217</v>
      </c>
    </row>
    <row r="33" customFormat="false" ht="15" hidden="false" customHeight="false" outlineLevel="0" collapsed="false">
      <c r="A33" s="106" t="s">
        <v>1230</v>
      </c>
      <c r="B33" s="106" t="s">
        <v>300</v>
      </c>
      <c r="C33" s="179" t="s">
        <v>109</v>
      </c>
      <c r="D33" s="106" t="s">
        <v>11</v>
      </c>
      <c r="E33" s="179" t="s">
        <v>20</v>
      </c>
      <c r="F33" s="179" t="s">
        <v>1195</v>
      </c>
      <c r="G33" s="179" t="s">
        <v>1196</v>
      </c>
      <c r="H33" s="191" t="n">
        <v>1</v>
      </c>
      <c r="I33" s="106" t="s">
        <v>601</v>
      </c>
    </row>
    <row r="34" customFormat="false" ht="15" hidden="false" customHeight="false" outlineLevel="0" collapsed="false">
      <c r="A34" s="102" t="s">
        <v>1231</v>
      </c>
      <c r="B34" s="102" t="s">
        <v>303</v>
      </c>
      <c r="C34" s="177" t="s">
        <v>304</v>
      </c>
      <c r="D34" s="102" t="s">
        <v>11</v>
      </c>
      <c r="E34" s="177" t="s">
        <v>21</v>
      </c>
      <c r="F34" s="177" t="s">
        <v>1187</v>
      </c>
      <c r="G34" s="177" t="s">
        <v>1188</v>
      </c>
      <c r="H34" s="190" t="n">
        <v>0.5</v>
      </c>
      <c r="I34" s="102" t="s">
        <v>1217</v>
      </c>
    </row>
    <row r="35" customFormat="false" ht="15" hidden="false" customHeight="false" outlineLevel="0" collapsed="false">
      <c r="A35" s="106" t="s">
        <v>1232</v>
      </c>
      <c r="B35" s="106" t="s">
        <v>303</v>
      </c>
      <c r="C35" s="179" t="s">
        <v>304</v>
      </c>
      <c r="D35" s="106" t="s">
        <v>11</v>
      </c>
      <c r="E35" s="179" t="s">
        <v>21</v>
      </c>
      <c r="F35" s="179" t="s">
        <v>1199</v>
      </c>
      <c r="G35" s="179" t="s">
        <v>1188</v>
      </c>
      <c r="H35" s="191" t="n">
        <v>1</v>
      </c>
      <c r="I35" s="106" t="s">
        <v>601</v>
      </c>
    </row>
    <row r="36" customFormat="false" ht="15" hidden="false" customHeight="false" outlineLevel="0" collapsed="false">
      <c r="A36" s="102" t="s">
        <v>1233</v>
      </c>
      <c r="B36" s="102" t="s">
        <v>303</v>
      </c>
      <c r="C36" s="177" t="s">
        <v>304</v>
      </c>
      <c r="D36" s="102" t="s">
        <v>11</v>
      </c>
      <c r="E36" s="177" t="s">
        <v>21</v>
      </c>
      <c r="F36" s="177" t="s">
        <v>1208</v>
      </c>
      <c r="G36" s="177" t="s">
        <v>1209</v>
      </c>
      <c r="H36" s="190" t="n">
        <v>1</v>
      </c>
      <c r="I36" s="102" t="s">
        <v>601</v>
      </c>
    </row>
    <row r="37" customFormat="false" ht="15" hidden="false" customHeight="false" outlineLevel="0" collapsed="false">
      <c r="A37" s="106" t="s">
        <v>1234</v>
      </c>
      <c r="B37" s="106" t="s">
        <v>303</v>
      </c>
      <c r="C37" s="179" t="s">
        <v>304</v>
      </c>
      <c r="D37" s="106" t="s">
        <v>11</v>
      </c>
      <c r="E37" s="179" t="s">
        <v>21</v>
      </c>
      <c r="F37" s="179" t="s">
        <v>1192</v>
      </c>
      <c r="G37" s="179" t="s">
        <v>1193</v>
      </c>
      <c r="H37" s="191" t="n">
        <v>1</v>
      </c>
      <c r="I37" s="106" t="s">
        <v>601</v>
      </c>
    </row>
    <row r="38" customFormat="false" ht="15" hidden="false" customHeight="false" outlineLevel="0" collapsed="false">
      <c r="A38" s="102" t="s">
        <v>1235</v>
      </c>
      <c r="B38" s="102" t="s">
        <v>303</v>
      </c>
      <c r="C38" s="177" t="s">
        <v>304</v>
      </c>
      <c r="D38" s="102" t="s">
        <v>11</v>
      </c>
      <c r="E38" s="177" t="s">
        <v>21</v>
      </c>
      <c r="F38" s="177" t="s">
        <v>1195</v>
      </c>
      <c r="G38" s="177" t="s">
        <v>1196</v>
      </c>
      <c r="H38" s="190" t="n">
        <v>1</v>
      </c>
      <c r="I38" s="102" t="s">
        <v>601</v>
      </c>
    </row>
    <row r="39" customFormat="false" ht="15" hidden="false" customHeight="false" outlineLevel="0" collapsed="false">
      <c r="A39" s="106" t="s">
        <v>1236</v>
      </c>
      <c r="B39" s="106" t="s">
        <v>303</v>
      </c>
      <c r="C39" s="179" t="s">
        <v>304</v>
      </c>
      <c r="D39" s="106" t="s">
        <v>11</v>
      </c>
      <c r="E39" s="179" t="s">
        <v>21</v>
      </c>
      <c r="F39" s="179" t="s">
        <v>1204</v>
      </c>
      <c r="G39" s="179" t="s">
        <v>1205</v>
      </c>
      <c r="H39" s="191" t="n">
        <v>1</v>
      </c>
      <c r="I39" s="106" t="s">
        <v>601</v>
      </c>
    </row>
    <row r="40" customFormat="false" ht="15" hidden="false" customHeight="false" outlineLevel="0" collapsed="false">
      <c r="A40" s="102" t="s">
        <v>1237</v>
      </c>
      <c r="B40" s="102" t="s">
        <v>303</v>
      </c>
      <c r="C40" s="177" t="s">
        <v>304</v>
      </c>
      <c r="D40" s="102" t="s">
        <v>11</v>
      </c>
      <c r="E40" s="177" t="s">
        <v>21</v>
      </c>
      <c r="F40" s="177" t="s">
        <v>1201</v>
      </c>
      <c r="G40" s="177" t="s">
        <v>20</v>
      </c>
      <c r="H40" s="190" t="n">
        <v>1</v>
      </c>
      <c r="I40" s="102" t="s">
        <v>601</v>
      </c>
    </row>
    <row r="41" customFormat="false" ht="15" hidden="false" customHeight="false" outlineLevel="0" collapsed="false">
      <c r="A41" s="106" t="s">
        <v>1238</v>
      </c>
      <c r="B41" s="106" t="s">
        <v>307</v>
      </c>
      <c r="C41" s="179" t="s">
        <v>308</v>
      </c>
      <c r="D41" s="106" t="s">
        <v>11</v>
      </c>
      <c r="E41" s="179" t="s">
        <v>22</v>
      </c>
      <c r="F41" s="179" t="s">
        <v>1187</v>
      </c>
      <c r="G41" s="179" t="s">
        <v>1188</v>
      </c>
      <c r="H41" s="191" t="n">
        <v>1</v>
      </c>
      <c r="I41" s="106" t="s">
        <v>601</v>
      </c>
    </row>
    <row r="42" customFormat="false" ht="15" hidden="false" customHeight="false" outlineLevel="0" collapsed="false">
      <c r="A42" s="102" t="s">
        <v>1239</v>
      </c>
      <c r="B42" s="102" t="s">
        <v>307</v>
      </c>
      <c r="C42" s="177" t="s">
        <v>308</v>
      </c>
      <c r="D42" s="102" t="s">
        <v>11</v>
      </c>
      <c r="E42" s="177" t="s">
        <v>22</v>
      </c>
      <c r="F42" s="177" t="s">
        <v>1199</v>
      </c>
      <c r="G42" s="177" t="s">
        <v>1188</v>
      </c>
      <c r="H42" s="190" t="n">
        <v>1</v>
      </c>
      <c r="I42" s="102" t="s">
        <v>601</v>
      </c>
    </row>
    <row r="43" customFormat="false" ht="15" hidden="false" customHeight="false" outlineLevel="0" collapsed="false">
      <c r="A43" s="106" t="s">
        <v>1240</v>
      </c>
      <c r="B43" s="106" t="s">
        <v>307</v>
      </c>
      <c r="C43" s="179" t="s">
        <v>308</v>
      </c>
      <c r="D43" s="106" t="s">
        <v>11</v>
      </c>
      <c r="E43" s="179" t="s">
        <v>22</v>
      </c>
      <c r="F43" s="179" t="s">
        <v>1208</v>
      </c>
      <c r="G43" s="179" t="s">
        <v>1209</v>
      </c>
      <c r="H43" s="191" t="n">
        <v>1</v>
      </c>
      <c r="I43" s="106" t="s">
        <v>601</v>
      </c>
    </row>
    <row r="44" customFormat="false" ht="15" hidden="false" customHeight="false" outlineLevel="0" collapsed="false">
      <c r="A44" s="102" t="s">
        <v>1241</v>
      </c>
      <c r="B44" s="102" t="s">
        <v>307</v>
      </c>
      <c r="C44" s="177" t="s">
        <v>308</v>
      </c>
      <c r="D44" s="102" t="s">
        <v>11</v>
      </c>
      <c r="E44" s="177" t="s">
        <v>22</v>
      </c>
      <c r="F44" s="177" t="s">
        <v>1182</v>
      </c>
      <c r="G44" s="177" t="s">
        <v>1183</v>
      </c>
      <c r="H44" s="190" t="n">
        <v>0.5</v>
      </c>
      <c r="I44" s="102" t="s">
        <v>1217</v>
      </c>
    </row>
    <row r="45" customFormat="false" ht="15" hidden="false" customHeight="false" outlineLevel="0" collapsed="false">
      <c r="A45" s="106" t="s">
        <v>1242</v>
      </c>
      <c r="B45" s="106" t="s">
        <v>307</v>
      </c>
      <c r="C45" s="179" t="s">
        <v>308</v>
      </c>
      <c r="D45" s="106" t="s">
        <v>11</v>
      </c>
      <c r="E45" s="179" t="s">
        <v>22</v>
      </c>
      <c r="F45" s="179" t="s">
        <v>1201</v>
      </c>
      <c r="G45" s="179" t="s">
        <v>20</v>
      </c>
      <c r="H45" s="191" t="n">
        <v>0.75</v>
      </c>
      <c r="I45" s="106" t="s">
        <v>1217</v>
      </c>
    </row>
    <row r="46" customFormat="false" ht="15" hidden="false" customHeight="false" outlineLevel="0" collapsed="false">
      <c r="A46" s="102" t="s">
        <v>1243</v>
      </c>
      <c r="B46" s="102" t="s">
        <v>307</v>
      </c>
      <c r="C46" s="177" t="s">
        <v>308</v>
      </c>
      <c r="D46" s="102" t="s">
        <v>11</v>
      </c>
      <c r="E46" s="177" t="s">
        <v>22</v>
      </c>
      <c r="F46" s="177" t="s">
        <v>1195</v>
      </c>
      <c r="G46" s="177" t="s">
        <v>1196</v>
      </c>
      <c r="H46" s="190" t="n">
        <v>1</v>
      </c>
      <c r="I46" s="102" t="s">
        <v>601</v>
      </c>
    </row>
    <row r="47" customFormat="false" ht="15" hidden="false" customHeight="false" outlineLevel="0" collapsed="false">
      <c r="A47" s="106" t="s">
        <v>1244</v>
      </c>
      <c r="B47" s="106" t="s">
        <v>307</v>
      </c>
      <c r="C47" s="179" t="s">
        <v>308</v>
      </c>
      <c r="D47" s="106" t="s">
        <v>11</v>
      </c>
      <c r="E47" s="179" t="s">
        <v>22</v>
      </c>
      <c r="F47" s="179" t="s">
        <v>1204</v>
      </c>
      <c r="G47" s="179" t="s">
        <v>1205</v>
      </c>
      <c r="H47" s="191" t="n">
        <v>1</v>
      </c>
      <c r="I47" s="106" t="s">
        <v>601</v>
      </c>
    </row>
    <row r="48" customFormat="false" ht="15" hidden="false" customHeight="false" outlineLevel="0" collapsed="false">
      <c r="A48" s="102" t="s">
        <v>1245</v>
      </c>
      <c r="B48" s="102" t="s">
        <v>311</v>
      </c>
      <c r="C48" s="177" t="s">
        <v>312</v>
      </c>
      <c r="D48" s="102" t="s">
        <v>11</v>
      </c>
      <c r="E48" s="177" t="s">
        <v>23</v>
      </c>
      <c r="F48" s="177" t="s">
        <v>1187</v>
      </c>
      <c r="G48" s="177" t="s">
        <v>1188</v>
      </c>
      <c r="H48" s="190" t="n">
        <v>0.75</v>
      </c>
      <c r="I48" s="102" t="s">
        <v>1217</v>
      </c>
    </row>
    <row r="49" customFormat="false" ht="15" hidden="false" customHeight="false" outlineLevel="0" collapsed="false">
      <c r="A49" s="106" t="s">
        <v>1246</v>
      </c>
      <c r="B49" s="106" t="s">
        <v>311</v>
      </c>
      <c r="C49" s="179" t="s">
        <v>312</v>
      </c>
      <c r="D49" s="106" t="s">
        <v>11</v>
      </c>
      <c r="E49" s="179" t="s">
        <v>23</v>
      </c>
      <c r="F49" s="179" t="s">
        <v>1199</v>
      </c>
      <c r="G49" s="179" t="s">
        <v>1188</v>
      </c>
      <c r="H49" s="191" t="n">
        <v>0.75</v>
      </c>
      <c r="I49" s="106" t="s">
        <v>1217</v>
      </c>
    </row>
    <row r="50" customFormat="false" ht="15" hidden="false" customHeight="false" outlineLevel="0" collapsed="false">
      <c r="A50" s="102" t="s">
        <v>1247</v>
      </c>
      <c r="B50" s="102" t="s">
        <v>311</v>
      </c>
      <c r="C50" s="177" t="s">
        <v>312</v>
      </c>
      <c r="D50" s="102" t="s">
        <v>11</v>
      </c>
      <c r="E50" s="177" t="s">
        <v>23</v>
      </c>
      <c r="F50" s="177" t="s">
        <v>1208</v>
      </c>
      <c r="G50" s="177" t="s">
        <v>1209</v>
      </c>
      <c r="H50" s="190" t="n">
        <v>1</v>
      </c>
      <c r="I50" s="102" t="s">
        <v>601</v>
      </c>
    </row>
    <row r="51" customFormat="false" ht="15" hidden="false" customHeight="false" outlineLevel="0" collapsed="false">
      <c r="A51" s="106" t="s">
        <v>1248</v>
      </c>
      <c r="B51" s="106" t="s">
        <v>311</v>
      </c>
      <c r="C51" s="179" t="s">
        <v>312</v>
      </c>
      <c r="D51" s="106" t="s">
        <v>11</v>
      </c>
      <c r="E51" s="179" t="s">
        <v>23</v>
      </c>
      <c r="F51" s="179" t="s">
        <v>1195</v>
      </c>
      <c r="G51" s="179" t="s">
        <v>1196</v>
      </c>
      <c r="H51" s="191" t="n">
        <v>0</v>
      </c>
      <c r="I51" s="106" t="s">
        <v>1222</v>
      </c>
    </row>
    <row r="52" customFormat="false" ht="15" hidden="false" customHeight="false" outlineLevel="0" collapsed="false">
      <c r="A52" s="102" t="s">
        <v>1249</v>
      </c>
      <c r="B52" s="102" t="s">
        <v>311</v>
      </c>
      <c r="C52" s="177" t="s">
        <v>312</v>
      </c>
      <c r="D52" s="102" t="s">
        <v>11</v>
      </c>
      <c r="E52" s="177" t="s">
        <v>23</v>
      </c>
      <c r="F52" s="177" t="s">
        <v>1192</v>
      </c>
      <c r="G52" s="177" t="s">
        <v>1193</v>
      </c>
      <c r="H52" s="190" t="n">
        <v>1</v>
      </c>
      <c r="I52" s="102" t="s">
        <v>601</v>
      </c>
    </row>
    <row r="53" customFormat="false" ht="15" hidden="false" customHeight="false" outlineLevel="0" collapsed="false">
      <c r="A53" s="106" t="s">
        <v>1250</v>
      </c>
      <c r="B53" s="106" t="s">
        <v>311</v>
      </c>
      <c r="C53" s="179" t="s">
        <v>312</v>
      </c>
      <c r="D53" s="106" t="s">
        <v>11</v>
      </c>
      <c r="E53" s="179" t="s">
        <v>23</v>
      </c>
      <c r="F53" s="179" t="s">
        <v>1201</v>
      </c>
      <c r="G53" s="179" t="s">
        <v>20</v>
      </c>
      <c r="H53" s="191" t="n">
        <v>1</v>
      </c>
      <c r="I53" s="106" t="s">
        <v>601</v>
      </c>
    </row>
    <row r="54" customFormat="false" ht="15" hidden="false" customHeight="false" outlineLevel="0" collapsed="false">
      <c r="A54" s="102" t="s">
        <v>1251</v>
      </c>
      <c r="B54" s="102" t="s">
        <v>311</v>
      </c>
      <c r="C54" s="177" t="s">
        <v>312</v>
      </c>
      <c r="D54" s="102" t="s">
        <v>11</v>
      </c>
      <c r="E54" s="177" t="s">
        <v>23</v>
      </c>
      <c r="F54" s="177" t="s">
        <v>1182</v>
      </c>
      <c r="G54" s="177" t="s">
        <v>1183</v>
      </c>
      <c r="H54" s="190" t="n">
        <v>1</v>
      </c>
      <c r="I54" s="102" t="s">
        <v>601</v>
      </c>
    </row>
    <row r="55" customFormat="false" ht="15" hidden="false" customHeight="false" outlineLevel="0" collapsed="false">
      <c r="A55" s="106" t="s">
        <v>1252</v>
      </c>
      <c r="B55" s="106" t="s">
        <v>315</v>
      </c>
      <c r="C55" s="179" t="s">
        <v>316</v>
      </c>
      <c r="D55" s="106" t="s">
        <v>11</v>
      </c>
      <c r="E55" s="179" t="s">
        <v>24</v>
      </c>
      <c r="F55" s="179" t="s">
        <v>1187</v>
      </c>
      <c r="G55" s="179" t="s">
        <v>1188</v>
      </c>
      <c r="H55" s="191" t="n">
        <v>1</v>
      </c>
      <c r="I55" s="106" t="s">
        <v>601</v>
      </c>
    </row>
    <row r="56" customFormat="false" ht="15" hidden="false" customHeight="false" outlineLevel="0" collapsed="false">
      <c r="A56" s="102" t="s">
        <v>1253</v>
      </c>
      <c r="B56" s="102" t="s">
        <v>315</v>
      </c>
      <c r="C56" s="177" t="s">
        <v>316</v>
      </c>
      <c r="D56" s="102" t="s">
        <v>11</v>
      </c>
      <c r="E56" s="177" t="s">
        <v>24</v>
      </c>
      <c r="F56" s="177" t="s">
        <v>1199</v>
      </c>
      <c r="G56" s="177" t="s">
        <v>1188</v>
      </c>
      <c r="H56" s="190" t="n">
        <v>1</v>
      </c>
      <c r="I56" s="102" t="s">
        <v>601</v>
      </c>
    </row>
    <row r="57" customFormat="false" ht="15" hidden="false" customHeight="false" outlineLevel="0" collapsed="false">
      <c r="A57" s="106" t="s">
        <v>1254</v>
      </c>
      <c r="B57" s="106" t="s">
        <v>315</v>
      </c>
      <c r="C57" s="179" t="s">
        <v>316</v>
      </c>
      <c r="D57" s="106" t="s">
        <v>11</v>
      </c>
      <c r="E57" s="179" t="s">
        <v>24</v>
      </c>
      <c r="F57" s="179" t="s">
        <v>1208</v>
      </c>
      <c r="G57" s="179" t="s">
        <v>1209</v>
      </c>
      <c r="H57" s="191" t="n">
        <v>1</v>
      </c>
      <c r="I57" s="106" t="s">
        <v>601</v>
      </c>
    </row>
    <row r="58" customFormat="false" ht="15" hidden="false" customHeight="false" outlineLevel="0" collapsed="false">
      <c r="A58" s="102" t="s">
        <v>1255</v>
      </c>
      <c r="B58" s="102" t="s">
        <v>315</v>
      </c>
      <c r="C58" s="177" t="s">
        <v>316</v>
      </c>
      <c r="D58" s="102" t="s">
        <v>11</v>
      </c>
      <c r="E58" s="177" t="s">
        <v>24</v>
      </c>
      <c r="F58" s="177" t="s">
        <v>1201</v>
      </c>
      <c r="G58" s="177" t="s">
        <v>20</v>
      </c>
      <c r="H58" s="190" t="n">
        <v>1</v>
      </c>
      <c r="I58" s="102" t="s">
        <v>601</v>
      </c>
    </row>
    <row r="59" customFormat="false" ht="15" hidden="false" customHeight="false" outlineLevel="0" collapsed="false">
      <c r="A59" s="106" t="s">
        <v>1256</v>
      </c>
      <c r="B59" s="106" t="s">
        <v>315</v>
      </c>
      <c r="C59" s="179" t="s">
        <v>316</v>
      </c>
      <c r="D59" s="106" t="s">
        <v>11</v>
      </c>
      <c r="E59" s="179" t="s">
        <v>24</v>
      </c>
      <c r="F59" s="179" t="s">
        <v>1182</v>
      </c>
      <c r="G59" s="179" t="s">
        <v>1183</v>
      </c>
      <c r="H59" s="191" t="n">
        <v>1</v>
      </c>
      <c r="I59" s="106" t="s">
        <v>601</v>
      </c>
    </row>
    <row r="60" customFormat="false" ht="15" hidden="false" customHeight="false" outlineLevel="0" collapsed="false">
      <c r="A60" s="102" t="s">
        <v>1257</v>
      </c>
      <c r="B60" s="102" t="s">
        <v>315</v>
      </c>
      <c r="C60" s="177" t="s">
        <v>316</v>
      </c>
      <c r="D60" s="102" t="s">
        <v>11</v>
      </c>
      <c r="E60" s="177" t="s">
        <v>24</v>
      </c>
      <c r="F60" s="177" t="s">
        <v>1192</v>
      </c>
      <c r="G60" s="177" t="s">
        <v>1193</v>
      </c>
      <c r="H60" s="190" t="n">
        <v>1</v>
      </c>
      <c r="I60" s="102" t="s">
        <v>601</v>
      </c>
    </row>
    <row r="61" customFormat="false" ht="15" hidden="false" customHeight="false" outlineLevel="0" collapsed="false">
      <c r="A61" s="106" t="s">
        <v>1258</v>
      </c>
      <c r="B61" s="106" t="s">
        <v>315</v>
      </c>
      <c r="C61" s="179" t="s">
        <v>316</v>
      </c>
      <c r="D61" s="106" t="s">
        <v>11</v>
      </c>
      <c r="E61" s="179" t="s">
        <v>24</v>
      </c>
      <c r="F61" s="179" t="s">
        <v>1204</v>
      </c>
      <c r="G61" s="179" t="s">
        <v>1205</v>
      </c>
      <c r="H61" s="191" t="n">
        <v>1</v>
      </c>
      <c r="I61" s="106" t="s">
        <v>601</v>
      </c>
    </row>
    <row r="62" customFormat="false" ht="15" hidden="false" customHeight="false" outlineLevel="0" collapsed="false">
      <c r="A62" s="102" t="s">
        <v>1259</v>
      </c>
      <c r="B62" s="102" t="s">
        <v>319</v>
      </c>
      <c r="C62" s="177" t="s">
        <v>320</v>
      </c>
      <c r="D62" s="102" t="s">
        <v>11</v>
      </c>
      <c r="E62" s="177" t="s">
        <v>25</v>
      </c>
      <c r="F62" s="177" t="s">
        <v>1187</v>
      </c>
      <c r="G62" s="177" t="s">
        <v>1188</v>
      </c>
      <c r="H62" s="190" t="n">
        <v>1</v>
      </c>
      <c r="I62" s="102" t="s">
        <v>601</v>
      </c>
    </row>
    <row r="63" customFormat="false" ht="15" hidden="false" customHeight="false" outlineLevel="0" collapsed="false">
      <c r="A63" s="106" t="s">
        <v>1260</v>
      </c>
      <c r="B63" s="106" t="s">
        <v>319</v>
      </c>
      <c r="C63" s="179" t="s">
        <v>320</v>
      </c>
      <c r="D63" s="106" t="s">
        <v>11</v>
      </c>
      <c r="E63" s="179" t="s">
        <v>25</v>
      </c>
      <c r="F63" s="179" t="s">
        <v>1199</v>
      </c>
      <c r="G63" s="179" t="s">
        <v>1188</v>
      </c>
      <c r="H63" s="191" t="n">
        <v>1</v>
      </c>
      <c r="I63" s="106" t="s">
        <v>601</v>
      </c>
    </row>
    <row r="64" customFormat="false" ht="15" hidden="false" customHeight="false" outlineLevel="0" collapsed="false">
      <c r="A64" s="102" t="s">
        <v>1261</v>
      </c>
      <c r="B64" s="102" t="s">
        <v>319</v>
      </c>
      <c r="C64" s="177" t="s">
        <v>320</v>
      </c>
      <c r="D64" s="102" t="s">
        <v>11</v>
      </c>
      <c r="E64" s="177" t="s">
        <v>25</v>
      </c>
      <c r="F64" s="177" t="s">
        <v>1208</v>
      </c>
      <c r="G64" s="177" t="s">
        <v>1209</v>
      </c>
      <c r="H64" s="190" t="n">
        <v>1</v>
      </c>
      <c r="I64" s="102" t="s">
        <v>601</v>
      </c>
    </row>
    <row r="65" customFormat="false" ht="15" hidden="false" customHeight="false" outlineLevel="0" collapsed="false">
      <c r="A65" s="106" t="s">
        <v>1262</v>
      </c>
      <c r="B65" s="106" t="s">
        <v>319</v>
      </c>
      <c r="C65" s="179" t="s">
        <v>320</v>
      </c>
      <c r="D65" s="106" t="s">
        <v>11</v>
      </c>
      <c r="E65" s="179" t="s">
        <v>25</v>
      </c>
      <c r="F65" s="179" t="s">
        <v>1201</v>
      </c>
      <c r="G65" s="179" t="s">
        <v>20</v>
      </c>
      <c r="H65" s="191" t="n">
        <v>1</v>
      </c>
      <c r="I65" s="106" t="s">
        <v>601</v>
      </c>
    </row>
    <row r="66" customFormat="false" ht="15" hidden="false" customHeight="false" outlineLevel="0" collapsed="false">
      <c r="A66" s="102" t="s">
        <v>1263</v>
      </c>
      <c r="B66" s="102" t="s">
        <v>319</v>
      </c>
      <c r="C66" s="177" t="s">
        <v>320</v>
      </c>
      <c r="D66" s="102" t="s">
        <v>11</v>
      </c>
      <c r="E66" s="177" t="s">
        <v>25</v>
      </c>
      <c r="F66" s="177" t="s">
        <v>1195</v>
      </c>
      <c r="G66" s="177" t="s">
        <v>1196</v>
      </c>
      <c r="H66" s="190" t="n">
        <v>1</v>
      </c>
      <c r="I66" s="102" t="s">
        <v>601</v>
      </c>
    </row>
    <row r="67" customFormat="false" ht="15" hidden="false" customHeight="false" outlineLevel="0" collapsed="false">
      <c r="A67" s="106" t="s">
        <v>1264</v>
      </c>
      <c r="B67" s="106" t="s">
        <v>319</v>
      </c>
      <c r="C67" s="179" t="s">
        <v>320</v>
      </c>
      <c r="D67" s="106" t="s">
        <v>11</v>
      </c>
      <c r="E67" s="179" t="s">
        <v>25</v>
      </c>
      <c r="F67" s="179" t="s">
        <v>1192</v>
      </c>
      <c r="G67" s="179" t="s">
        <v>1193</v>
      </c>
      <c r="H67" s="191" t="n">
        <v>1</v>
      </c>
      <c r="I67" s="106" t="s">
        <v>601</v>
      </c>
    </row>
    <row r="68" customFormat="false" ht="15" hidden="false" customHeight="false" outlineLevel="0" collapsed="false">
      <c r="A68" s="102" t="s">
        <v>1265</v>
      </c>
      <c r="B68" s="102" t="s">
        <v>319</v>
      </c>
      <c r="C68" s="177" t="s">
        <v>320</v>
      </c>
      <c r="D68" s="102" t="s">
        <v>11</v>
      </c>
      <c r="E68" s="177" t="s">
        <v>25</v>
      </c>
      <c r="F68" s="177" t="s">
        <v>1182</v>
      </c>
      <c r="G68" s="177" t="s">
        <v>1183</v>
      </c>
      <c r="H68" s="190" t="n">
        <v>1</v>
      </c>
      <c r="I68" s="102" t="s">
        <v>601</v>
      </c>
    </row>
    <row r="69" customFormat="false" ht="15" hidden="false" customHeight="false" outlineLevel="0" collapsed="false">
      <c r="A69" s="106" t="s">
        <v>1266</v>
      </c>
      <c r="B69" s="106" t="s">
        <v>323</v>
      </c>
      <c r="C69" s="179" t="s">
        <v>324</v>
      </c>
      <c r="D69" s="106" t="s">
        <v>11</v>
      </c>
      <c r="E69" s="179" t="s">
        <v>15</v>
      </c>
      <c r="F69" s="179" t="s">
        <v>1187</v>
      </c>
      <c r="G69" s="179" t="s">
        <v>1188</v>
      </c>
      <c r="H69" s="191" t="n">
        <v>0</v>
      </c>
      <c r="I69" s="106" t="s">
        <v>1222</v>
      </c>
    </row>
    <row r="70" customFormat="false" ht="15" hidden="false" customHeight="false" outlineLevel="0" collapsed="false">
      <c r="A70" s="102" t="s">
        <v>1267</v>
      </c>
      <c r="B70" s="102" t="s">
        <v>323</v>
      </c>
      <c r="C70" s="177" t="s">
        <v>324</v>
      </c>
      <c r="D70" s="102" t="s">
        <v>11</v>
      </c>
      <c r="E70" s="177" t="s">
        <v>15</v>
      </c>
      <c r="F70" s="177" t="s">
        <v>1199</v>
      </c>
      <c r="G70" s="177" t="s">
        <v>1188</v>
      </c>
      <c r="H70" s="190" t="n">
        <v>1</v>
      </c>
      <c r="I70" s="102" t="s">
        <v>601</v>
      </c>
    </row>
    <row r="71" customFormat="false" ht="15" hidden="false" customHeight="false" outlineLevel="0" collapsed="false">
      <c r="A71" s="106" t="s">
        <v>1268</v>
      </c>
      <c r="B71" s="106" t="s">
        <v>323</v>
      </c>
      <c r="C71" s="179" t="s">
        <v>324</v>
      </c>
      <c r="D71" s="106" t="s">
        <v>11</v>
      </c>
      <c r="E71" s="179" t="s">
        <v>15</v>
      </c>
      <c r="F71" s="179" t="s">
        <v>1208</v>
      </c>
      <c r="G71" s="179" t="s">
        <v>1209</v>
      </c>
      <c r="H71" s="191" t="n">
        <v>1</v>
      </c>
      <c r="I71" s="106" t="s">
        <v>601</v>
      </c>
    </row>
    <row r="72" customFormat="false" ht="15" hidden="false" customHeight="false" outlineLevel="0" collapsed="false">
      <c r="A72" s="102" t="s">
        <v>1269</v>
      </c>
      <c r="B72" s="102" t="s">
        <v>323</v>
      </c>
      <c r="C72" s="177" t="s">
        <v>324</v>
      </c>
      <c r="D72" s="102" t="s">
        <v>11</v>
      </c>
      <c r="E72" s="177" t="s">
        <v>15</v>
      </c>
      <c r="F72" s="177" t="s">
        <v>1201</v>
      </c>
      <c r="G72" s="177" t="s">
        <v>20</v>
      </c>
      <c r="H72" s="190" t="n">
        <v>0.25</v>
      </c>
      <c r="I72" s="102" t="s">
        <v>1222</v>
      </c>
    </row>
    <row r="73" customFormat="false" ht="15" hidden="false" customHeight="false" outlineLevel="0" collapsed="false">
      <c r="A73" s="106" t="s">
        <v>1270</v>
      </c>
      <c r="B73" s="106" t="s">
        <v>323</v>
      </c>
      <c r="C73" s="179" t="s">
        <v>324</v>
      </c>
      <c r="D73" s="106" t="s">
        <v>11</v>
      </c>
      <c r="E73" s="179" t="s">
        <v>15</v>
      </c>
      <c r="F73" s="179" t="s">
        <v>1192</v>
      </c>
      <c r="G73" s="179" t="s">
        <v>1193</v>
      </c>
      <c r="H73" s="191" t="n">
        <v>1</v>
      </c>
      <c r="I73" s="106" t="s">
        <v>601</v>
      </c>
    </row>
    <row r="74" customFormat="false" ht="15" hidden="false" customHeight="false" outlineLevel="0" collapsed="false">
      <c r="A74" s="102" t="s">
        <v>1271</v>
      </c>
      <c r="B74" s="102" t="s">
        <v>323</v>
      </c>
      <c r="C74" s="177" t="s">
        <v>324</v>
      </c>
      <c r="D74" s="102" t="s">
        <v>11</v>
      </c>
      <c r="E74" s="177" t="s">
        <v>15</v>
      </c>
      <c r="F74" s="177" t="s">
        <v>1204</v>
      </c>
      <c r="G74" s="177" t="s">
        <v>1205</v>
      </c>
      <c r="H74" s="190" t="n">
        <v>0.5</v>
      </c>
      <c r="I74" s="102" t="s">
        <v>1217</v>
      </c>
    </row>
    <row r="75" customFormat="false" ht="15" hidden="false" customHeight="false" outlineLevel="0" collapsed="false">
      <c r="A75" s="106" t="s">
        <v>1272</v>
      </c>
      <c r="B75" s="106" t="s">
        <v>327</v>
      </c>
      <c r="C75" s="179" t="s">
        <v>328</v>
      </c>
      <c r="D75" s="106" t="s">
        <v>11</v>
      </c>
      <c r="E75" s="179" t="s">
        <v>15</v>
      </c>
      <c r="F75" s="179" t="s">
        <v>1187</v>
      </c>
      <c r="G75" s="179" t="s">
        <v>1188</v>
      </c>
      <c r="H75" s="191" t="n">
        <v>1</v>
      </c>
      <c r="I75" s="106" t="s">
        <v>601</v>
      </c>
    </row>
    <row r="76" customFormat="false" ht="15" hidden="false" customHeight="false" outlineLevel="0" collapsed="false">
      <c r="A76" s="102" t="s">
        <v>1273</v>
      </c>
      <c r="B76" s="102" t="s">
        <v>327</v>
      </c>
      <c r="C76" s="177" t="s">
        <v>328</v>
      </c>
      <c r="D76" s="102" t="s">
        <v>11</v>
      </c>
      <c r="E76" s="177" t="s">
        <v>15</v>
      </c>
      <c r="F76" s="177" t="s">
        <v>1199</v>
      </c>
      <c r="G76" s="177" t="s">
        <v>1188</v>
      </c>
      <c r="H76" s="190" t="n">
        <v>1</v>
      </c>
      <c r="I76" s="102" t="s">
        <v>601</v>
      </c>
    </row>
    <row r="77" customFormat="false" ht="15" hidden="false" customHeight="false" outlineLevel="0" collapsed="false">
      <c r="A77" s="106" t="s">
        <v>1274</v>
      </c>
      <c r="B77" s="106" t="s">
        <v>327</v>
      </c>
      <c r="C77" s="179" t="s">
        <v>328</v>
      </c>
      <c r="D77" s="106" t="s">
        <v>11</v>
      </c>
      <c r="E77" s="179" t="s">
        <v>15</v>
      </c>
      <c r="F77" s="179" t="s">
        <v>1208</v>
      </c>
      <c r="G77" s="179" t="s">
        <v>1209</v>
      </c>
      <c r="H77" s="191" t="n">
        <v>1</v>
      </c>
      <c r="I77" s="106" t="s">
        <v>601</v>
      </c>
    </row>
    <row r="78" customFormat="false" ht="15" hidden="false" customHeight="false" outlineLevel="0" collapsed="false">
      <c r="A78" s="102" t="s">
        <v>1275</v>
      </c>
      <c r="B78" s="102" t="s">
        <v>327</v>
      </c>
      <c r="C78" s="177" t="s">
        <v>328</v>
      </c>
      <c r="D78" s="102" t="s">
        <v>11</v>
      </c>
      <c r="E78" s="177" t="s">
        <v>15</v>
      </c>
      <c r="F78" s="177" t="s">
        <v>1192</v>
      </c>
      <c r="G78" s="177" t="s">
        <v>1193</v>
      </c>
      <c r="H78" s="190" t="n">
        <v>1</v>
      </c>
      <c r="I78" s="102" t="s">
        <v>601</v>
      </c>
    </row>
    <row r="79" customFormat="false" ht="15" hidden="false" customHeight="false" outlineLevel="0" collapsed="false">
      <c r="A79" s="106" t="s">
        <v>1276</v>
      </c>
      <c r="B79" s="106" t="s">
        <v>327</v>
      </c>
      <c r="C79" s="179" t="s">
        <v>328</v>
      </c>
      <c r="D79" s="106" t="s">
        <v>11</v>
      </c>
      <c r="E79" s="179" t="s">
        <v>15</v>
      </c>
      <c r="F79" s="179" t="s">
        <v>1195</v>
      </c>
      <c r="G79" s="179" t="s">
        <v>1196</v>
      </c>
      <c r="H79" s="191" t="n">
        <v>1</v>
      </c>
      <c r="I79" s="106" t="s">
        <v>601</v>
      </c>
    </row>
    <row r="80" customFormat="false" ht="15" hidden="false" customHeight="false" outlineLevel="0" collapsed="false">
      <c r="A80" s="102" t="s">
        <v>1277</v>
      </c>
      <c r="B80" s="102" t="s">
        <v>327</v>
      </c>
      <c r="C80" s="177" t="s">
        <v>328</v>
      </c>
      <c r="D80" s="102" t="s">
        <v>11</v>
      </c>
      <c r="E80" s="177" t="s">
        <v>15</v>
      </c>
      <c r="F80" s="177" t="s">
        <v>1204</v>
      </c>
      <c r="G80" s="177" t="s">
        <v>1205</v>
      </c>
      <c r="H80" s="190" t="n">
        <v>1</v>
      </c>
      <c r="I80" s="102" t="s">
        <v>601</v>
      </c>
    </row>
    <row r="81" customFormat="false" ht="15" hidden="false" customHeight="false" outlineLevel="0" collapsed="false">
      <c r="A81" s="106" t="s">
        <v>1278</v>
      </c>
      <c r="B81" s="106" t="s">
        <v>327</v>
      </c>
      <c r="C81" s="179" t="s">
        <v>328</v>
      </c>
      <c r="D81" s="106" t="s">
        <v>11</v>
      </c>
      <c r="E81" s="179" t="s">
        <v>15</v>
      </c>
      <c r="F81" s="179" t="s">
        <v>1201</v>
      </c>
      <c r="G81" s="179" t="s">
        <v>20</v>
      </c>
      <c r="H81" s="191" t="n">
        <v>1</v>
      </c>
      <c r="I81" s="106" t="s">
        <v>601</v>
      </c>
    </row>
    <row r="82" customFormat="false" ht="15" hidden="false" customHeight="false" outlineLevel="0" collapsed="false">
      <c r="A82" s="102" t="s">
        <v>1279</v>
      </c>
      <c r="B82" s="102" t="s">
        <v>330</v>
      </c>
      <c r="C82" s="177" t="s">
        <v>331</v>
      </c>
      <c r="D82" s="102" t="s">
        <v>11</v>
      </c>
      <c r="E82" s="177" t="s">
        <v>15</v>
      </c>
      <c r="F82" s="177" t="s">
        <v>1187</v>
      </c>
      <c r="G82" s="177" t="s">
        <v>1188</v>
      </c>
      <c r="H82" s="190" t="n">
        <v>0.5</v>
      </c>
      <c r="I82" s="102" t="s">
        <v>1217</v>
      </c>
    </row>
    <row r="83" customFormat="false" ht="15" hidden="false" customHeight="false" outlineLevel="0" collapsed="false">
      <c r="A83" s="106" t="s">
        <v>1280</v>
      </c>
      <c r="B83" s="106" t="s">
        <v>330</v>
      </c>
      <c r="C83" s="179" t="s">
        <v>331</v>
      </c>
      <c r="D83" s="106" t="s">
        <v>11</v>
      </c>
      <c r="E83" s="179" t="s">
        <v>15</v>
      </c>
      <c r="F83" s="179" t="s">
        <v>1199</v>
      </c>
      <c r="G83" s="179" t="s">
        <v>1188</v>
      </c>
      <c r="H83" s="191" t="n">
        <v>1</v>
      </c>
      <c r="I83" s="106" t="s">
        <v>601</v>
      </c>
    </row>
    <row r="84" customFormat="false" ht="15" hidden="false" customHeight="false" outlineLevel="0" collapsed="false">
      <c r="A84" s="102" t="s">
        <v>1281</v>
      </c>
      <c r="B84" s="102" t="s">
        <v>330</v>
      </c>
      <c r="C84" s="177" t="s">
        <v>331</v>
      </c>
      <c r="D84" s="102" t="s">
        <v>11</v>
      </c>
      <c r="E84" s="177" t="s">
        <v>15</v>
      </c>
      <c r="F84" s="177" t="s">
        <v>1208</v>
      </c>
      <c r="G84" s="177" t="s">
        <v>1209</v>
      </c>
      <c r="H84" s="190" t="n">
        <v>1</v>
      </c>
      <c r="I84" s="102" t="s">
        <v>601</v>
      </c>
    </row>
    <row r="85" customFormat="false" ht="15" hidden="false" customHeight="false" outlineLevel="0" collapsed="false">
      <c r="A85" s="106" t="s">
        <v>1282</v>
      </c>
      <c r="B85" s="106" t="s">
        <v>330</v>
      </c>
      <c r="C85" s="179" t="s">
        <v>331</v>
      </c>
      <c r="D85" s="106" t="s">
        <v>11</v>
      </c>
      <c r="E85" s="179" t="s">
        <v>15</v>
      </c>
      <c r="F85" s="179" t="s">
        <v>1182</v>
      </c>
      <c r="G85" s="179" t="s">
        <v>1183</v>
      </c>
      <c r="H85" s="191" t="n">
        <v>1</v>
      </c>
      <c r="I85" s="106" t="s">
        <v>601</v>
      </c>
    </row>
    <row r="86" customFormat="false" ht="15" hidden="false" customHeight="false" outlineLevel="0" collapsed="false">
      <c r="A86" s="102" t="s">
        <v>1283</v>
      </c>
      <c r="B86" s="102" t="s">
        <v>330</v>
      </c>
      <c r="C86" s="177" t="s">
        <v>331</v>
      </c>
      <c r="D86" s="102" t="s">
        <v>11</v>
      </c>
      <c r="E86" s="177" t="s">
        <v>15</v>
      </c>
      <c r="F86" s="177" t="s">
        <v>1204</v>
      </c>
      <c r="G86" s="177" t="s">
        <v>1205</v>
      </c>
      <c r="H86" s="190" t="n">
        <v>0</v>
      </c>
      <c r="I86" s="102" t="s">
        <v>1222</v>
      </c>
    </row>
    <row r="87" customFormat="false" ht="15" hidden="false" customHeight="false" outlineLevel="0" collapsed="false">
      <c r="A87" s="106" t="s">
        <v>1284</v>
      </c>
      <c r="B87" s="106" t="s">
        <v>330</v>
      </c>
      <c r="C87" s="179" t="s">
        <v>331</v>
      </c>
      <c r="D87" s="106" t="s">
        <v>11</v>
      </c>
      <c r="E87" s="179" t="s">
        <v>15</v>
      </c>
      <c r="F87" s="179" t="s">
        <v>1201</v>
      </c>
      <c r="G87" s="179" t="s">
        <v>20</v>
      </c>
      <c r="H87" s="191" t="n">
        <v>1</v>
      </c>
      <c r="I87" s="106" t="s">
        <v>601</v>
      </c>
    </row>
    <row r="88" customFormat="false" ht="15" hidden="false" customHeight="false" outlineLevel="0" collapsed="false">
      <c r="A88" s="102" t="s">
        <v>1285</v>
      </c>
      <c r="B88" s="102" t="s">
        <v>332</v>
      </c>
      <c r="C88" s="177" t="s">
        <v>333</v>
      </c>
      <c r="D88" s="102" t="s">
        <v>11</v>
      </c>
      <c r="E88" s="177" t="s">
        <v>16</v>
      </c>
      <c r="F88" s="177" t="s">
        <v>1187</v>
      </c>
      <c r="G88" s="177" t="s">
        <v>1188</v>
      </c>
      <c r="H88" s="190" t="n">
        <v>1</v>
      </c>
      <c r="I88" s="102" t="s">
        <v>601</v>
      </c>
    </row>
    <row r="89" customFormat="false" ht="15" hidden="false" customHeight="false" outlineLevel="0" collapsed="false">
      <c r="A89" s="106" t="s">
        <v>1286</v>
      </c>
      <c r="B89" s="106" t="s">
        <v>332</v>
      </c>
      <c r="C89" s="179" t="s">
        <v>333</v>
      </c>
      <c r="D89" s="106" t="s">
        <v>11</v>
      </c>
      <c r="E89" s="179" t="s">
        <v>16</v>
      </c>
      <c r="F89" s="179" t="s">
        <v>1199</v>
      </c>
      <c r="G89" s="179" t="s">
        <v>1188</v>
      </c>
      <c r="H89" s="191" t="n">
        <v>1</v>
      </c>
      <c r="I89" s="106" t="s">
        <v>601</v>
      </c>
    </row>
    <row r="90" customFormat="false" ht="15" hidden="false" customHeight="false" outlineLevel="0" collapsed="false">
      <c r="A90" s="102" t="s">
        <v>1287</v>
      </c>
      <c r="B90" s="102" t="s">
        <v>332</v>
      </c>
      <c r="C90" s="177" t="s">
        <v>333</v>
      </c>
      <c r="D90" s="102" t="s">
        <v>11</v>
      </c>
      <c r="E90" s="177" t="s">
        <v>16</v>
      </c>
      <c r="F90" s="177" t="s">
        <v>1208</v>
      </c>
      <c r="G90" s="177" t="s">
        <v>1209</v>
      </c>
      <c r="H90" s="190" t="n">
        <v>1</v>
      </c>
      <c r="I90" s="102" t="s">
        <v>601</v>
      </c>
    </row>
    <row r="91" customFormat="false" ht="15" hidden="false" customHeight="false" outlineLevel="0" collapsed="false">
      <c r="A91" s="106" t="s">
        <v>1288</v>
      </c>
      <c r="B91" s="106" t="s">
        <v>332</v>
      </c>
      <c r="C91" s="179" t="s">
        <v>333</v>
      </c>
      <c r="D91" s="106" t="s">
        <v>11</v>
      </c>
      <c r="E91" s="179" t="s">
        <v>16</v>
      </c>
      <c r="F91" s="179" t="s">
        <v>1204</v>
      </c>
      <c r="G91" s="179" t="s">
        <v>1205</v>
      </c>
      <c r="H91" s="191" t="n">
        <v>0.75</v>
      </c>
      <c r="I91" s="106" t="s">
        <v>1217</v>
      </c>
    </row>
    <row r="92" customFormat="false" ht="15" hidden="false" customHeight="false" outlineLevel="0" collapsed="false">
      <c r="A92" s="102" t="s">
        <v>1289</v>
      </c>
      <c r="B92" s="102" t="s">
        <v>332</v>
      </c>
      <c r="C92" s="177" t="s">
        <v>333</v>
      </c>
      <c r="D92" s="102" t="s">
        <v>11</v>
      </c>
      <c r="E92" s="177" t="s">
        <v>16</v>
      </c>
      <c r="F92" s="177" t="s">
        <v>1192</v>
      </c>
      <c r="G92" s="177" t="s">
        <v>1193</v>
      </c>
      <c r="H92" s="190" t="n">
        <v>1</v>
      </c>
      <c r="I92" s="102" t="s">
        <v>601</v>
      </c>
    </row>
    <row r="93" customFormat="false" ht="15" hidden="false" customHeight="false" outlineLevel="0" collapsed="false">
      <c r="A93" s="106" t="s">
        <v>1290</v>
      </c>
      <c r="B93" s="106" t="s">
        <v>335</v>
      </c>
      <c r="C93" s="179" t="s">
        <v>336</v>
      </c>
      <c r="D93" s="106" t="s">
        <v>11</v>
      </c>
      <c r="E93" s="179" t="s">
        <v>16</v>
      </c>
      <c r="F93" s="179" t="s">
        <v>1187</v>
      </c>
      <c r="G93" s="179" t="s">
        <v>1188</v>
      </c>
      <c r="H93" s="191" t="n">
        <v>1</v>
      </c>
      <c r="I93" s="106" t="s">
        <v>601</v>
      </c>
    </row>
    <row r="94" customFormat="false" ht="15" hidden="false" customHeight="false" outlineLevel="0" collapsed="false">
      <c r="A94" s="102" t="s">
        <v>1291</v>
      </c>
      <c r="B94" s="102" t="s">
        <v>335</v>
      </c>
      <c r="C94" s="177" t="s">
        <v>336</v>
      </c>
      <c r="D94" s="102" t="s">
        <v>11</v>
      </c>
      <c r="E94" s="177" t="s">
        <v>16</v>
      </c>
      <c r="F94" s="177" t="s">
        <v>1199</v>
      </c>
      <c r="G94" s="177" t="s">
        <v>1188</v>
      </c>
      <c r="H94" s="190" t="n">
        <v>1</v>
      </c>
      <c r="I94" s="102" t="s">
        <v>601</v>
      </c>
    </row>
    <row r="95" customFormat="false" ht="15" hidden="false" customHeight="false" outlineLevel="0" collapsed="false">
      <c r="A95" s="106" t="s">
        <v>1292</v>
      </c>
      <c r="B95" s="106" t="s">
        <v>335</v>
      </c>
      <c r="C95" s="179" t="s">
        <v>336</v>
      </c>
      <c r="D95" s="106" t="s">
        <v>11</v>
      </c>
      <c r="E95" s="179" t="s">
        <v>16</v>
      </c>
      <c r="F95" s="179" t="s">
        <v>1208</v>
      </c>
      <c r="G95" s="179" t="s">
        <v>1209</v>
      </c>
      <c r="H95" s="191" t="n">
        <v>1</v>
      </c>
      <c r="I95" s="106" t="s">
        <v>601</v>
      </c>
    </row>
    <row r="96" customFormat="false" ht="15" hidden="false" customHeight="false" outlineLevel="0" collapsed="false">
      <c r="A96" s="102" t="s">
        <v>1293</v>
      </c>
      <c r="B96" s="102" t="s">
        <v>335</v>
      </c>
      <c r="C96" s="177" t="s">
        <v>336</v>
      </c>
      <c r="D96" s="102" t="s">
        <v>11</v>
      </c>
      <c r="E96" s="177" t="s">
        <v>16</v>
      </c>
      <c r="F96" s="177" t="s">
        <v>1201</v>
      </c>
      <c r="G96" s="177" t="s">
        <v>20</v>
      </c>
      <c r="H96" s="190" t="n">
        <v>1</v>
      </c>
      <c r="I96" s="102" t="s">
        <v>601</v>
      </c>
    </row>
    <row r="97" customFormat="false" ht="15" hidden="false" customHeight="false" outlineLevel="0" collapsed="false">
      <c r="A97" s="106" t="s">
        <v>1294</v>
      </c>
      <c r="B97" s="106" t="s">
        <v>335</v>
      </c>
      <c r="C97" s="179" t="s">
        <v>336</v>
      </c>
      <c r="D97" s="106" t="s">
        <v>11</v>
      </c>
      <c r="E97" s="179" t="s">
        <v>16</v>
      </c>
      <c r="F97" s="179" t="s">
        <v>1204</v>
      </c>
      <c r="G97" s="179" t="s">
        <v>1205</v>
      </c>
      <c r="H97" s="191" t="n">
        <v>1</v>
      </c>
      <c r="I97" s="106" t="s">
        <v>601</v>
      </c>
    </row>
    <row r="98" customFormat="false" ht="15" hidden="false" customHeight="false" outlineLevel="0" collapsed="false">
      <c r="A98" s="102" t="s">
        <v>1295</v>
      </c>
      <c r="B98" s="102" t="s">
        <v>338</v>
      </c>
      <c r="C98" s="177" t="s">
        <v>339</v>
      </c>
      <c r="D98" s="102" t="s">
        <v>11</v>
      </c>
      <c r="E98" s="177" t="s">
        <v>20</v>
      </c>
      <c r="F98" s="177" t="s">
        <v>1187</v>
      </c>
      <c r="G98" s="177" t="s">
        <v>1188</v>
      </c>
      <c r="H98" s="190" t="n">
        <v>1</v>
      </c>
      <c r="I98" s="102" t="s">
        <v>601</v>
      </c>
    </row>
    <row r="99" customFormat="false" ht="15" hidden="false" customHeight="false" outlineLevel="0" collapsed="false">
      <c r="A99" s="106" t="s">
        <v>1296</v>
      </c>
      <c r="B99" s="106" t="s">
        <v>338</v>
      </c>
      <c r="C99" s="179" t="s">
        <v>339</v>
      </c>
      <c r="D99" s="106" t="s">
        <v>11</v>
      </c>
      <c r="E99" s="179" t="s">
        <v>20</v>
      </c>
      <c r="F99" s="179" t="s">
        <v>1199</v>
      </c>
      <c r="G99" s="179" t="s">
        <v>1188</v>
      </c>
      <c r="H99" s="191" t="n">
        <v>0.75</v>
      </c>
      <c r="I99" s="106" t="s">
        <v>1217</v>
      </c>
    </row>
    <row r="100" customFormat="false" ht="15" hidden="false" customHeight="false" outlineLevel="0" collapsed="false">
      <c r="A100" s="102" t="s">
        <v>1297</v>
      </c>
      <c r="B100" s="102" t="s">
        <v>338</v>
      </c>
      <c r="C100" s="177" t="s">
        <v>339</v>
      </c>
      <c r="D100" s="102" t="s">
        <v>11</v>
      </c>
      <c r="E100" s="177" t="s">
        <v>20</v>
      </c>
      <c r="F100" s="177" t="s">
        <v>1208</v>
      </c>
      <c r="G100" s="177" t="s">
        <v>1209</v>
      </c>
      <c r="H100" s="190" t="n">
        <v>1</v>
      </c>
      <c r="I100" s="102" t="s">
        <v>601</v>
      </c>
    </row>
    <row r="101" customFormat="false" ht="15" hidden="false" customHeight="false" outlineLevel="0" collapsed="false">
      <c r="A101" s="106" t="s">
        <v>1298</v>
      </c>
      <c r="B101" s="106" t="s">
        <v>338</v>
      </c>
      <c r="C101" s="179" t="s">
        <v>339</v>
      </c>
      <c r="D101" s="106" t="s">
        <v>11</v>
      </c>
      <c r="E101" s="179" t="s">
        <v>20</v>
      </c>
      <c r="F101" s="179" t="s">
        <v>1192</v>
      </c>
      <c r="G101" s="179" t="s">
        <v>1193</v>
      </c>
      <c r="H101" s="191" t="n">
        <v>1</v>
      </c>
      <c r="I101" s="106" t="s">
        <v>601</v>
      </c>
    </row>
    <row r="102" customFormat="false" ht="15" hidden="false" customHeight="false" outlineLevel="0" collapsed="false">
      <c r="A102" s="102" t="s">
        <v>1299</v>
      </c>
      <c r="B102" s="102" t="s">
        <v>338</v>
      </c>
      <c r="C102" s="177" t="s">
        <v>339</v>
      </c>
      <c r="D102" s="102" t="s">
        <v>11</v>
      </c>
      <c r="E102" s="177" t="s">
        <v>20</v>
      </c>
      <c r="F102" s="177" t="s">
        <v>1204</v>
      </c>
      <c r="G102" s="177" t="s">
        <v>1205</v>
      </c>
      <c r="H102" s="190" t="n">
        <v>1</v>
      </c>
      <c r="I102" s="102" t="s">
        <v>601</v>
      </c>
    </row>
    <row r="103" customFormat="false" ht="15" hidden="false" customHeight="false" outlineLevel="0" collapsed="false">
      <c r="A103" s="106" t="s">
        <v>1300</v>
      </c>
      <c r="B103" s="106" t="s">
        <v>338</v>
      </c>
      <c r="C103" s="179" t="s">
        <v>339</v>
      </c>
      <c r="D103" s="106" t="s">
        <v>11</v>
      </c>
      <c r="E103" s="179" t="s">
        <v>20</v>
      </c>
      <c r="F103" s="179" t="s">
        <v>1201</v>
      </c>
      <c r="G103" s="179" t="s">
        <v>20</v>
      </c>
      <c r="H103" s="191" t="n">
        <v>1</v>
      </c>
      <c r="I103" s="106" t="s">
        <v>601</v>
      </c>
    </row>
    <row r="104" customFormat="false" ht="15" hidden="false" customHeight="false" outlineLevel="0" collapsed="false">
      <c r="A104" s="102" t="s">
        <v>1301</v>
      </c>
      <c r="B104" s="102" t="s">
        <v>338</v>
      </c>
      <c r="C104" s="177" t="s">
        <v>339</v>
      </c>
      <c r="D104" s="102" t="s">
        <v>11</v>
      </c>
      <c r="E104" s="177" t="s">
        <v>20</v>
      </c>
      <c r="F104" s="177" t="s">
        <v>1182</v>
      </c>
      <c r="G104" s="177" t="s">
        <v>1183</v>
      </c>
      <c r="H104" s="190" t="n">
        <v>1</v>
      </c>
      <c r="I104" s="102" t="s">
        <v>601</v>
      </c>
    </row>
    <row r="105" customFormat="false" ht="15" hidden="false" customHeight="false" outlineLevel="0" collapsed="false">
      <c r="A105" s="106" t="s">
        <v>1302</v>
      </c>
      <c r="B105" s="106" t="s">
        <v>342</v>
      </c>
      <c r="C105" s="179" t="s">
        <v>343</v>
      </c>
      <c r="D105" s="106" t="s">
        <v>11</v>
      </c>
      <c r="E105" s="179" t="s">
        <v>20</v>
      </c>
      <c r="F105" s="179" t="s">
        <v>1187</v>
      </c>
      <c r="G105" s="179" t="s">
        <v>1188</v>
      </c>
      <c r="H105" s="191" t="n">
        <v>1</v>
      </c>
      <c r="I105" s="106" t="s">
        <v>601</v>
      </c>
    </row>
    <row r="106" customFormat="false" ht="15" hidden="false" customHeight="false" outlineLevel="0" collapsed="false">
      <c r="A106" s="102" t="s">
        <v>1303</v>
      </c>
      <c r="B106" s="102" t="s">
        <v>342</v>
      </c>
      <c r="C106" s="177" t="s">
        <v>343</v>
      </c>
      <c r="D106" s="102" t="s">
        <v>11</v>
      </c>
      <c r="E106" s="177" t="s">
        <v>20</v>
      </c>
      <c r="F106" s="177" t="s">
        <v>1199</v>
      </c>
      <c r="G106" s="177" t="s">
        <v>1188</v>
      </c>
      <c r="H106" s="190" t="n">
        <v>1</v>
      </c>
      <c r="I106" s="102" t="s">
        <v>601</v>
      </c>
    </row>
    <row r="107" customFormat="false" ht="15" hidden="false" customHeight="false" outlineLevel="0" collapsed="false">
      <c r="A107" s="106" t="s">
        <v>1304</v>
      </c>
      <c r="B107" s="106" t="s">
        <v>342</v>
      </c>
      <c r="C107" s="179" t="s">
        <v>343</v>
      </c>
      <c r="D107" s="106" t="s">
        <v>11</v>
      </c>
      <c r="E107" s="179" t="s">
        <v>20</v>
      </c>
      <c r="F107" s="179" t="s">
        <v>1208</v>
      </c>
      <c r="G107" s="179" t="s">
        <v>1209</v>
      </c>
      <c r="H107" s="191" t="n">
        <v>1</v>
      </c>
      <c r="I107" s="106" t="s">
        <v>601</v>
      </c>
    </row>
    <row r="108" customFormat="false" ht="15" hidden="false" customHeight="false" outlineLevel="0" collapsed="false">
      <c r="A108" s="102" t="s">
        <v>1305</v>
      </c>
      <c r="B108" s="102" t="s">
        <v>342</v>
      </c>
      <c r="C108" s="177" t="s">
        <v>343</v>
      </c>
      <c r="D108" s="102" t="s">
        <v>11</v>
      </c>
      <c r="E108" s="177" t="s">
        <v>20</v>
      </c>
      <c r="F108" s="177" t="s">
        <v>1204</v>
      </c>
      <c r="G108" s="177" t="s">
        <v>1205</v>
      </c>
      <c r="H108" s="190" t="n">
        <v>1</v>
      </c>
      <c r="I108" s="102" t="s">
        <v>601</v>
      </c>
    </row>
    <row r="109" customFormat="false" ht="15" hidden="false" customHeight="false" outlineLevel="0" collapsed="false">
      <c r="A109" s="106" t="s">
        <v>1306</v>
      </c>
      <c r="B109" s="106" t="s">
        <v>342</v>
      </c>
      <c r="C109" s="179" t="s">
        <v>343</v>
      </c>
      <c r="D109" s="106" t="s">
        <v>11</v>
      </c>
      <c r="E109" s="179" t="s">
        <v>20</v>
      </c>
      <c r="F109" s="179" t="s">
        <v>1195</v>
      </c>
      <c r="G109" s="179" t="s">
        <v>1196</v>
      </c>
      <c r="H109" s="191" t="n">
        <v>1</v>
      </c>
      <c r="I109" s="106" t="s">
        <v>601</v>
      </c>
    </row>
    <row r="110" customFormat="false" ht="15" hidden="false" customHeight="false" outlineLevel="0" collapsed="false">
      <c r="A110" s="102" t="s">
        <v>1307</v>
      </c>
      <c r="B110" s="102" t="s">
        <v>342</v>
      </c>
      <c r="C110" s="177" t="s">
        <v>343</v>
      </c>
      <c r="D110" s="102" t="s">
        <v>11</v>
      </c>
      <c r="E110" s="177" t="s">
        <v>20</v>
      </c>
      <c r="F110" s="177" t="s">
        <v>1201</v>
      </c>
      <c r="G110" s="177" t="s">
        <v>20</v>
      </c>
      <c r="H110" s="190" t="n">
        <v>1</v>
      </c>
      <c r="I110" s="102" t="s">
        <v>601</v>
      </c>
    </row>
    <row r="111" customFormat="false" ht="15" hidden="false" customHeight="false" outlineLevel="0" collapsed="false">
      <c r="A111" s="106" t="s">
        <v>1308</v>
      </c>
      <c r="B111" s="106" t="s">
        <v>344</v>
      </c>
      <c r="C111" s="179" t="s">
        <v>345</v>
      </c>
      <c r="D111" s="106" t="s">
        <v>11</v>
      </c>
      <c r="E111" s="179" t="s">
        <v>20</v>
      </c>
      <c r="F111" s="179" t="s">
        <v>1187</v>
      </c>
      <c r="G111" s="179" t="s">
        <v>1188</v>
      </c>
      <c r="H111" s="191" t="n">
        <v>1</v>
      </c>
      <c r="I111" s="106" t="s">
        <v>601</v>
      </c>
    </row>
    <row r="112" customFormat="false" ht="15" hidden="false" customHeight="false" outlineLevel="0" collapsed="false">
      <c r="A112" s="102" t="s">
        <v>1309</v>
      </c>
      <c r="B112" s="102" t="s">
        <v>344</v>
      </c>
      <c r="C112" s="177" t="s">
        <v>345</v>
      </c>
      <c r="D112" s="102" t="s">
        <v>11</v>
      </c>
      <c r="E112" s="177" t="s">
        <v>20</v>
      </c>
      <c r="F112" s="177" t="s">
        <v>1199</v>
      </c>
      <c r="G112" s="177" t="s">
        <v>1188</v>
      </c>
      <c r="H112" s="190" t="n">
        <v>1</v>
      </c>
      <c r="I112" s="102" t="s">
        <v>601</v>
      </c>
    </row>
    <row r="113" customFormat="false" ht="15" hidden="false" customHeight="false" outlineLevel="0" collapsed="false">
      <c r="A113" s="106" t="s">
        <v>1310</v>
      </c>
      <c r="B113" s="106" t="s">
        <v>344</v>
      </c>
      <c r="C113" s="179" t="s">
        <v>345</v>
      </c>
      <c r="D113" s="106" t="s">
        <v>11</v>
      </c>
      <c r="E113" s="179" t="s">
        <v>20</v>
      </c>
      <c r="F113" s="179" t="s">
        <v>1208</v>
      </c>
      <c r="G113" s="179" t="s">
        <v>1209</v>
      </c>
      <c r="H113" s="191" t="n">
        <v>1</v>
      </c>
      <c r="I113" s="106" t="s">
        <v>601</v>
      </c>
    </row>
    <row r="114" customFormat="false" ht="15" hidden="false" customHeight="false" outlineLevel="0" collapsed="false">
      <c r="A114" s="102" t="s">
        <v>1311</v>
      </c>
      <c r="B114" s="102" t="s">
        <v>344</v>
      </c>
      <c r="C114" s="177" t="s">
        <v>345</v>
      </c>
      <c r="D114" s="102" t="s">
        <v>11</v>
      </c>
      <c r="E114" s="177" t="s">
        <v>20</v>
      </c>
      <c r="F114" s="177" t="s">
        <v>1195</v>
      </c>
      <c r="G114" s="177" t="s">
        <v>1196</v>
      </c>
      <c r="H114" s="190" t="n">
        <v>1</v>
      </c>
      <c r="I114" s="102" t="s">
        <v>601</v>
      </c>
    </row>
    <row r="115" customFormat="false" ht="15" hidden="false" customHeight="false" outlineLevel="0" collapsed="false">
      <c r="A115" s="106" t="s">
        <v>1312</v>
      </c>
      <c r="B115" s="106" t="s">
        <v>344</v>
      </c>
      <c r="C115" s="179" t="s">
        <v>345</v>
      </c>
      <c r="D115" s="106" t="s">
        <v>11</v>
      </c>
      <c r="E115" s="179" t="s">
        <v>20</v>
      </c>
      <c r="F115" s="179" t="s">
        <v>1182</v>
      </c>
      <c r="G115" s="179" t="s">
        <v>1183</v>
      </c>
      <c r="H115" s="191" t="n">
        <v>1</v>
      </c>
      <c r="I115" s="106" t="s">
        <v>601</v>
      </c>
    </row>
    <row r="116" customFormat="false" ht="15" hidden="false" customHeight="false" outlineLevel="0" collapsed="false">
      <c r="A116" s="102" t="s">
        <v>1313</v>
      </c>
      <c r="B116" s="102" t="s">
        <v>344</v>
      </c>
      <c r="C116" s="177" t="s">
        <v>345</v>
      </c>
      <c r="D116" s="102" t="s">
        <v>11</v>
      </c>
      <c r="E116" s="177" t="s">
        <v>20</v>
      </c>
      <c r="F116" s="177" t="s">
        <v>1204</v>
      </c>
      <c r="G116" s="177" t="s">
        <v>1205</v>
      </c>
      <c r="H116" s="190" t="n">
        <v>1</v>
      </c>
      <c r="I116" s="102" t="s">
        <v>601</v>
      </c>
    </row>
    <row r="117" customFormat="false" ht="15" hidden="false" customHeight="false" outlineLevel="0" collapsed="false">
      <c r="A117" s="106" t="s">
        <v>1314</v>
      </c>
      <c r="B117" s="106" t="s">
        <v>344</v>
      </c>
      <c r="C117" s="179" t="s">
        <v>345</v>
      </c>
      <c r="D117" s="106" t="s">
        <v>11</v>
      </c>
      <c r="E117" s="179" t="s">
        <v>20</v>
      </c>
      <c r="F117" s="179" t="s">
        <v>1201</v>
      </c>
      <c r="G117" s="179" t="s">
        <v>20</v>
      </c>
      <c r="H117" s="191" t="n">
        <v>1</v>
      </c>
      <c r="I117" s="106" t="s">
        <v>601</v>
      </c>
    </row>
    <row r="118" customFormat="false" ht="15" hidden="false" customHeight="false" outlineLevel="0" collapsed="false">
      <c r="A118" s="102" t="s">
        <v>1315</v>
      </c>
      <c r="B118" s="102" t="s">
        <v>347</v>
      </c>
      <c r="C118" s="177" t="s">
        <v>348</v>
      </c>
      <c r="D118" s="102" t="s">
        <v>11</v>
      </c>
      <c r="E118" s="177" t="s">
        <v>21</v>
      </c>
      <c r="F118" s="177" t="s">
        <v>1187</v>
      </c>
      <c r="G118" s="177" t="s">
        <v>1188</v>
      </c>
      <c r="H118" s="190" t="n">
        <v>1</v>
      </c>
      <c r="I118" s="102" t="s">
        <v>601</v>
      </c>
    </row>
    <row r="119" customFormat="false" ht="15" hidden="false" customHeight="false" outlineLevel="0" collapsed="false">
      <c r="A119" s="106" t="s">
        <v>1316</v>
      </c>
      <c r="B119" s="106" t="s">
        <v>347</v>
      </c>
      <c r="C119" s="179" t="s">
        <v>348</v>
      </c>
      <c r="D119" s="106" t="s">
        <v>11</v>
      </c>
      <c r="E119" s="179" t="s">
        <v>21</v>
      </c>
      <c r="F119" s="179" t="s">
        <v>1199</v>
      </c>
      <c r="G119" s="179" t="s">
        <v>1188</v>
      </c>
      <c r="H119" s="191" t="n">
        <v>1</v>
      </c>
      <c r="I119" s="106" t="s">
        <v>601</v>
      </c>
    </row>
    <row r="120" customFormat="false" ht="15" hidden="false" customHeight="false" outlineLevel="0" collapsed="false">
      <c r="A120" s="102" t="s">
        <v>1317</v>
      </c>
      <c r="B120" s="102" t="s">
        <v>347</v>
      </c>
      <c r="C120" s="177" t="s">
        <v>348</v>
      </c>
      <c r="D120" s="102" t="s">
        <v>11</v>
      </c>
      <c r="E120" s="177" t="s">
        <v>21</v>
      </c>
      <c r="F120" s="177" t="s">
        <v>1208</v>
      </c>
      <c r="G120" s="177" t="s">
        <v>1209</v>
      </c>
      <c r="H120" s="190" t="n">
        <v>1</v>
      </c>
      <c r="I120" s="102" t="s">
        <v>601</v>
      </c>
    </row>
    <row r="121" customFormat="false" ht="15" hidden="false" customHeight="false" outlineLevel="0" collapsed="false">
      <c r="A121" s="106" t="s">
        <v>1318</v>
      </c>
      <c r="B121" s="106" t="s">
        <v>347</v>
      </c>
      <c r="C121" s="179" t="s">
        <v>348</v>
      </c>
      <c r="D121" s="106" t="s">
        <v>11</v>
      </c>
      <c r="E121" s="179" t="s">
        <v>21</v>
      </c>
      <c r="F121" s="179" t="s">
        <v>1201</v>
      </c>
      <c r="G121" s="179" t="s">
        <v>20</v>
      </c>
      <c r="H121" s="191" t="n">
        <v>0</v>
      </c>
      <c r="I121" s="106" t="s">
        <v>1222</v>
      </c>
    </row>
    <row r="122" customFormat="false" ht="15" hidden="false" customHeight="false" outlineLevel="0" collapsed="false">
      <c r="A122" s="102" t="s">
        <v>1319</v>
      </c>
      <c r="B122" s="102" t="s">
        <v>347</v>
      </c>
      <c r="C122" s="177" t="s">
        <v>348</v>
      </c>
      <c r="D122" s="102" t="s">
        <v>11</v>
      </c>
      <c r="E122" s="177" t="s">
        <v>21</v>
      </c>
      <c r="F122" s="177" t="s">
        <v>1204</v>
      </c>
      <c r="G122" s="177" t="s">
        <v>1205</v>
      </c>
      <c r="H122" s="190" t="n">
        <v>1</v>
      </c>
      <c r="I122" s="102" t="s">
        <v>601</v>
      </c>
    </row>
    <row r="123" customFormat="false" ht="15" hidden="false" customHeight="false" outlineLevel="0" collapsed="false">
      <c r="A123" s="106" t="s">
        <v>1320</v>
      </c>
      <c r="B123" s="106" t="s">
        <v>347</v>
      </c>
      <c r="C123" s="179" t="s">
        <v>348</v>
      </c>
      <c r="D123" s="106" t="s">
        <v>11</v>
      </c>
      <c r="E123" s="179" t="s">
        <v>21</v>
      </c>
      <c r="F123" s="179" t="s">
        <v>1182</v>
      </c>
      <c r="G123" s="179" t="s">
        <v>1183</v>
      </c>
      <c r="H123" s="191" t="n">
        <v>1</v>
      </c>
      <c r="I123" s="106" t="s">
        <v>601</v>
      </c>
    </row>
    <row r="124" customFormat="false" ht="15" hidden="false" customHeight="false" outlineLevel="0" collapsed="false">
      <c r="A124" s="102" t="s">
        <v>1321</v>
      </c>
      <c r="B124" s="102" t="s">
        <v>347</v>
      </c>
      <c r="C124" s="177" t="s">
        <v>348</v>
      </c>
      <c r="D124" s="102" t="s">
        <v>11</v>
      </c>
      <c r="E124" s="177" t="s">
        <v>21</v>
      </c>
      <c r="F124" s="177" t="s">
        <v>1192</v>
      </c>
      <c r="G124" s="177" t="s">
        <v>1193</v>
      </c>
      <c r="H124" s="190" t="n">
        <v>1</v>
      </c>
      <c r="I124" s="102" t="s">
        <v>601</v>
      </c>
    </row>
    <row r="125" customFormat="false" ht="15" hidden="false" customHeight="false" outlineLevel="0" collapsed="false">
      <c r="A125" s="106" t="s">
        <v>1322</v>
      </c>
      <c r="B125" s="106" t="s">
        <v>351</v>
      </c>
      <c r="C125" s="179" t="s">
        <v>352</v>
      </c>
      <c r="D125" s="106" t="s">
        <v>11</v>
      </c>
      <c r="E125" s="179" t="s">
        <v>21</v>
      </c>
      <c r="F125" s="179" t="s">
        <v>1187</v>
      </c>
      <c r="G125" s="179" t="s">
        <v>1188</v>
      </c>
      <c r="H125" s="191" t="n">
        <v>0</v>
      </c>
      <c r="I125" s="106" t="s">
        <v>1222</v>
      </c>
    </row>
    <row r="126" customFormat="false" ht="15" hidden="false" customHeight="false" outlineLevel="0" collapsed="false">
      <c r="A126" s="102" t="s">
        <v>1323</v>
      </c>
      <c r="B126" s="102" t="s">
        <v>351</v>
      </c>
      <c r="C126" s="177" t="s">
        <v>352</v>
      </c>
      <c r="D126" s="102" t="s">
        <v>11</v>
      </c>
      <c r="E126" s="177" t="s">
        <v>21</v>
      </c>
      <c r="F126" s="177" t="s">
        <v>1199</v>
      </c>
      <c r="G126" s="177" t="s">
        <v>1188</v>
      </c>
      <c r="H126" s="190" t="n">
        <v>1</v>
      </c>
      <c r="I126" s="102" t="s">
        <v>601</v>
      </c>
    </row>
    <row r="127" customFormat="false" ht="15" hidden="false" customHeight="false" outlineLevel="0" collapsed="false">
      <c r="A127" s="106" t="s">
        <v>1324</v>
      </c>
      <c r="B127" s="106" t="s">
        <v>351</v>
      </c>
      <c r="C127" s="179" t="s">
        <v>352</v>
      </c>
      <c r="D127" s="106" t="s">
        <v>11</v>
      </c>
      <c r="E127" s="179" t="s">
        <v>21</v>
      </c>
      <c r="F127" s="179" t="s">
        <v>1208</v>
      </c>
      <c r="G127" s="179" t="s">
        <v>1209</v>
      </c>
      <c r="H127" s="191" t="n">
        <v>1</v>
      </c>
      <c r="I127" s="106" t="s">
        <v>601</v>
      </c>
    </row>
    <row r="128" customFormat="false" ht="15" hidden="false" customHeight="false" outlineLevel="0" collapsed="false">
      <c r="A128" s="102" t="s">
        <v>1325</v>
      </c>
      <c r="B128" s="102" t="s">
        <v>351</v>
      </c>
      <c r="C128" s="177" t="s">
        <v>352</v>
      </c>
      <c r="D128" s="102" t="s">
        <v>11</v>
      </c>
      <c r="E128" s="177" t="s">
        <v>21</v>
      </c>
      <c r="F128" s="177" t="s">
        <v>1201</v>
      </c>
      <c r="G128" s="177" t="s">
        <v>20</v>
      </c>
      <c r="H128" s="190" t="n">
        <v>1</v>
      </c>
      <c r="I128" s="102" t="s">
        <v>601</v>
      </c>
    </row>
    <row r="129" customFormat="false" ht="15" hidden="false" customHeight="false" outlineLevel="0" collapsed="false">
      <c r="A129" s="106" t="s">
        <v>1326</v>
      </c>
      <c r="B129" s="106" t="s">
        <v>351</v>
      </c>
      <c r="C129" s="179" t="s">
        <v>352</v>
      </c>
      <c r="D129" s="106" t="s">
        <v>11</v>
      </c>
      <c r="E129" s="179" t="s">
        <v>21</v>
      </c>
      <c r="F129" s="179" t="s">
        <v>1182</v>
      </c>
      <c r="G129" s="179" t="s">
        <v>1183</v>
      </c>
      <c r="H129" s="191" t="n">
        <v>1</v>
      </c>
      <c r="I129" s="106" t="s">
        <v>601</v>
      </c>
    </row>
    <row r="130" customFormat="false" ht="15" hidden="false" customHeight="false" outlineLevel="0" collapsed="false">
      <c r="A130" s="102" t="s">
        <v>1327</v>
      </c>
      <c r="B130" s="102" t="s">
        <v>351</v>
      </c>
      <c r="C130" s="177" t="s">
        <v>352</v>
      </c>
      <c r="D130" s="102" t="s">
        <v>11</v>
      </c>
      <c r="E130" s="177" t="s">
        <v>21</v>
      </c>
      <c r="F130" s="177" t="s">
        <v>1192</v>
      </c>
      <c r="G130" s="177" t="s">
        <v>1193</v>
      </c>
      <c r="H130" s="190" t="n">
        <v>1</v>
      </c>
      <c r="I130" s="102" t="s">
        <v>601</v>
      </c>
    </row>
    <row r="131" customFormat="false" ht="15" hidden="false" customHeight="false" outlineLevel="0" collapsed="false">
      <c r="A131" s="106" t="s">
        <v>1328</v>
      </c>
      <c r="B131" s="106" t="s">
        <v>353</v>
      </c>
      <c r="C131" s="179" t="s">
        <v>164</v>
      </c>
      <c r="D131" s="106" t="s">
        <v>11</v>
      </c>
      <c r="E131" s="179" t="s">
        <v>21</v>
      </c>
      <c r="F131" s="179" t="s">
        <v>1187</v>
      </c>
      <c r="G131" s="179" t="s">
        <v>1188</v>
      </c>
      <c r="H131" s="191" t="n">
        <v>0.5</v>
      </c>
      <c r="I131" s="106" t="s">
        <v>1217</v>
      </c>
    </row>
    <row r="132" customFormat="false" ht="15" hidden="false" customHeight="false" outlineLevel="0" collapsed="false">
      <c r="A132" s="102" t="s">
        <v>1329</v>
      </c>
      <c r="B132" s="102" t="s">
        <v>353</v>
      </c>
      <c r="C132" s="177" t="s">
        <v>164</v>
      </c>
      <c r="D132" s="102" t="s">
        <v>11</v>
      </c>
      <c r="E132" s="177" t="s">
        <v>21</v>
      </c>
      <c r="F132" s="177" t="s">
        <v>1199</v>
      </c>
      <c r="G132" s="177" t="s">
        <v>1188</v>
      </c>
      <c r="H132" s="190" t="n">
        <v>1</v>
      </c>
      <c r="I132" s="102" t="s">
        <v>601</v>
      </c>
    </row>
    <row r="133" customFormat="false" ht="15" hidden="false" customHeight="false" outlineLevel="0" collapsed="false">
      <c r="A133" s="106" t="s">
        <v>1330</v>
      </c>
      <c r="B133" s="106" t="s">
        <v>353</v>
      </c>
      <c r="C133" s="179" t="s">
        <v>164</v>
      </c>
      <c r="D133" s="106" t="s">
        <v>11</v>
      </c>
      <c r="E133" s="179" t="s">
        <v>21</v>
      </c>
      <c r="F133" s="179" t="s">
        <v>1208</v>
      </c>
      <c r="G133" s="179" t="s">
        <v>1209</v>
      </c>
      <c r="H133" s="191" t="n">
        <v>1</v>
      </c>
      <c r="I133" s="106" t="s">
        <v>601</v>
      </c>
    </row>
    <row r="134" customFormat="false" ht="15" hidden="false" customHeight="false" outlineLevel="0" collapsed="false">
      <c r="A134" s="102" t="s">
        <v>1331</v>
      </c>
      <c r="B134" s="102" t="s">
        <v>353</v>
      </c>
      <c r="C134" s="177" t="s">
        <v>164</v>
      </c>
      <c r="D134" s="102" t="s">
        <v>11</v>
      </c>
      <c r="E134" s="177" t="s">
        <v>21</v>
      </c>
      <c r="F134" s="177" t="s">
        <v>1201</v>
      </c>
      <c r="G134" s="177" t="s">
        <v>20</v>
      </c>
      <c r="H134" s="190" t="n">
        <v>1</v>
      </c>
      <c r="I134" s="102" t="s">
        <v>601</v>
      </c>
    </row>
    <row r="135" customFormat="false" ht="15" hidden="false" customHeight="false" outlineLevel="0" collapsed="false">
      <c r="A135" s="106" t="s">
        <v>1332</v>
      </c>
      <c r="B135" s="106" t="s">
        <v>353</v>
      </c>
      <c r="C135" s="179" t="s">
        <v>164</v>
      </c>
      <c r="D135" s="106" t="s">
        <v>11</v>
      </c>
      <c r="E135" s="179" t="s">
        <v>21</v>
      </c>
      <c r="F135" s="179" t="s">
        <v>1204</v>
      </c>
      <c r="G135" s="179" t="s">
        <v>1205</v>
      </c>
      <c r="H135" s="191" t="n">
        <v>0.75</v>
      </c>
      <c r="I135" s="106" t="s">
        <v>1217</v>
      </c>
    </row>
    <row r="136" customFormat="false" ht="15" hidden="false" customHeight="false" outlineLevel="0" collapsed="false">
      <c r="A136" s="102" t="s">
        <v>1333</v>
      </c>
      <c r="B136" s="102" t="s">
        <v>353</v>
      </c>
      <c r="C136" s="177" t="s">
        <v>164</v>
      </c>
      <c r="D136" s="102" t="s">
        <v>11</v>
      </c>
      <c r="E136" s="177" t="s">
        <v>21</v>
      </c>
      <c r="F136" s="177" t="s">
        <v>1195</v>
      </c>
      <c r="G136" s="177" t="s">
        <v>1196</v>
      </c>
      <c r="H136" s="190" t="n">
        <v>1</v>
      </c>
      <c r="I136" s="102" t="s">
        <v>601</v>
      </c>
    </row>
    <row r="137" customFormat="false" ht="15" hidden="false" customHeight="false" outlineLevel="0" collapsed="false">
      <c r="A137" s="106" t="s">
        <v>1334</v>
      </c>
      <c r="B137" s="106" t="s">
        <v>355</v>
      </c>
      <c r="C137" s="179" t="s">
        <v>356</v>
      </c>
      <c r="D137" s="106" t="s">
        <v>11</v>
      </c>
      <c r="E137" s="179" t="s">
        <v>22</v>
      </c>
      <c r="F137" s="179" t="s">
        <v>1187</v>
      </c>
      <c r="G137" s="179" t="s">
        <v>1188</v>
      </c>
      <c r="H137" s="191" t="n">
        <v>0.75</v>
      </c>
      <c r="I137" s="106" t="s">
        <v>1217</v>
      </c>
    </row>
    <row r="138" customFormat="false" ht="15" hidden="false" customHeight="false" outlineLevel="0" collapsed="false">
      <c r="A138" s="102" t="s">
        <v>1335</v>
      </c>
      <c r="B138" s="102" t="s">
        <v>355</v>
      </c>
      <c r="C138" s="177" t="s">
        <v>356</v>
      </c>
      <c r="D138" s="102" t="s">
        <v>11</v>
      </c>
      <c r="E138" s="177" t="s">
        <v>22</v>
      </c>
      <c r="F138" s="177" t="s">
        <v>1199</v>
      </c>
      <c r="G138" s="177" t="s">
        <v>1188</v>
      </c>
      <c r="H138" s="190" t="n">
        <v>1</v>
      </c>
      <c r="I138" s="102" t="s">
        <v>601</v>
      </c>
    </row>
    <row r="139" customFormat="false" ht="15" hidden="false" customHeight="false" outlineLevel="0" collapsed="false">
      <c r="A139" s="106" t="s">
        <v>1336</v>
      </c>
      <c r="B139" s="106" t="s">
        <v>355</v>
      </c>
      <c r="C139" s="179" t="s">
        <v>356</v>
      </c>
      <c r="D139" s="106" t="s">
        <v>11</v>
      </c>
      <c r="E139" s="179" t="s">
        <v>22</v>
      </c>
      <c r="F139" s="179" t="s">
        <v>1208</v>
      </c>
      <c r="G139" s="179" t="s">
        <v>1209</v>
      </c>
      <c r="H139" s="191" t="n">
        <v>0.75</v>
      </c>
      <c r="I139" s="106" t="s">
        <v>1217</v>
      </c>
    </row>
    <row r="140" customFormat="false" ht="15" hidden="false" customHeight="false" outlineLevel="0" collapsed="false">
      <c r="A140" s="102" t="s">
        <v>1337</v>
      </c>
      <c r="B140" s="102" t="s">
        <v>355</v>
      </c>
      <c r="C140" s="177" t="s">
        <v>356</v>
      </c>
      <c r="D140" s="102" t="s">
        <v>11</v>
      </c>
      <c r="E140" s="177" t="s">
        <v>22</v>
      </c>
      <c r="F140" s="177" t="s">
        <v>1192</v>
      </c>
      <c r="G140" s="177" t="s">
        <v>1193</v>
      </c>
      <c r="H140" s="190" t="n">
        <v>1</v>
      </c>
      <c r="I140" s="102" t="s">
        <v>601</v>
      </c>
    </row>
    <row r="141" customFormat="false" ht="15" hidden="false" customHeight="false" outlineLevel="0" collapsed="false">
      <c r="A141" s="106" t="s">
        <v>1338</v>
      </c>
      <c r="B141" s="106" t="s">
        <v>355</v>
      </c>
      <c r="C141" s="179" t="s">
        <v>356</v>
      </c>
      <c r="D141" s="106" t="s">
        <v>11</v>
      </c>
      <c r="E141" s="179" t="s">
        <v>22</v>
      </c>
      <c r="F141" s="179" t="s">
        <v>1195</v>
      </c>
      <c r="G141" s="179" t="s">
        <v>1196</v>
      </c>
      <c r="H141" s="191" t="n">
        <v>1</v>
      </c>
      <c r="I141" s="106" t="s">
        <v>601</v>
      </c>
    </row>
    <row r="142" customFormat="false" ht="15" hidden="false" customHeight="false" outlineLevel="0" collapsed="false">
      <c r="A142" s="102" t="s">
        <v>1339</v>
      </c>
      <c r="B142" s="102" t="s">
        <v>355</v>
      </c>
      <c r="C142" s="177" t="s">
        <v>356</v>
      </c>
      <c r="D142" s="102" t="s">
        <v>11</v>
      </c>
      <c r="E142" s="177" t="s">
        <v>22</v>
      </c>
      <c r="F142" s="177" t="s">
        <v>1182</v>
      </c>
      <c r="G142" s="177" t="s">
        <v>1183</v>
      </c>
      <c r="H142" s="190" t="n">
        <v>1</v>
      </c>
      <c r="I142" s="102" t="s">
        <v>601</v>
      </c>
    </row>
    <row r="143" customFormat="false" ht="15" hidden="false" customHeight="false" outlineLevel="0" collapsed="false">
      <c r="A143" s="106" t="s">
        <v>1340</v>
      </c>
      <c r="B143" s="106" t="s">
        <v>358</v>
      </c>
      <c r="C143" s="179" t="s">
        <v>79</v>
      </c>
      <c r="D143" s="106" t="s">
        <v>11</v>
      </c>
      <c r="E143" s="179" t="s">
        <v>22</v>
      </c>
      <c r="F143" s="179" t="s">
        <v>1187</v>
      </c>
      <c r="G143" s="179" t="s">
        <v>1188</v>
      </c>
      <c r="H143" s="191" t="n">
        <v>0.5</v>
      </c>
      <c r="I143" s="106" t="s">
        <v>1217</v>
      </c>
    </row>
    <row r="144" customFormat="false" ht="15" hidden="false" customHeight="false" outlineLevel="0" collapsed="false">
      <c r="A144" s="102" t="s">
        <v>1341</v>
      </c>
      <c r="B144" s="102" t="s">
        <v>358</v>
      </c>
      <c r="C144" s="177" t="s">
        <v>79</v>
      </c>
      <c r="D144" s="102" t="s">
        <v>11</v>
      </c>
      <c r="E144" s="177" t="s">
        <v>22</v>
      </c>
      <c r="F144" s="177" t="s">
        <v>1199</v>
      </c>
      <c r="G144" s="177" t="s">
        <v>1188</v>
      </c>
      <c r="H144" s="190" t="n">
        <v>1</v>
      </c>
      <c r="I144" s="102" t="s">
        <v>601</v>
      </c>
    </row>
    <row r="145" customFormat="false" ht="15" hidden="false" customHeight="false" outlineLevel="0" collapsed="false">
      <c r="A145" s="106" t="s">
        <v>1342</v>
      </c>
      <c r="B145" s="106" t="s">
        <v>358</v>
      </c>
      <c r="C145" s="179" t="s">
        <v>79</v>
      </c>
      <c r="D145" s="106" t="s">
        <v>11</v>
      </c>
      <c r="E145" s="179" t="s">
        <v>22</v>
      </c>
      <c r="F145" s="179" t="s">
        <v>1208</v>
      </c>
      <c r="G145" s="179" t="s">
        <v>1209</v>
      </c>
      <c r="H145" s="191" t="n">
        <v>0.75</v>
      </c>
      <c r="I145" s="106" t="s">
        <v>1217</v>
      </c>
    </row>
    <row r="146" customFormat="false" ht="15" hidden="false" customHeight="false" outlineLevel="0" collapsed="false">
      <c r="A146" s="102" t="s">
        <v>1343</v>
      </c>
      <c r="B146" s="102" t="s">
        <v>358</v>
      </c>
      <c r="C146" s="177" t="s">
        <v>79</v>
      </c>
      <c r="D146" s="102" t="s">
        <v>11</v>
      </c>
      <c r="E146" s="177" t="s">
        <v>22</v>
      </c>
      <c r="F146" s="177" t="s">
        <v>1204</v>
      </c>
      <c r="G146" s="177" t="s">
        <v>1205</v>
      </c>
      <c r="H146" s="190" t="n">
        <v>1</v>
      </c>
      <c r="I146" s="102" t="s">
        <v>601</v>
      </c>
    </row>
    <row r="147" customFormat="false" ht="15" hidden="false" customHeight="false" outlineLevel="0" collapsed="false">
      <c r="A147" s="106" t="s">
        <v>1344</v>
      </c>
      <c r="B147" s="106" t="s">
        <v>358</v>
      </c>
      <c r="C147" s="179" t="s">
        <v>79</v>
      </c>
      <c r="D147" s="106" t="s">
        <v>11</v>
      </c>
      <c r="E147" s="179" t="s">
        <v>22</v>
      </c>
      <c r="F147" s="179" t="s">
        <v>1195</v>
      </c>
      <c r="G147" s="179" t="s">
        <v>1196</v>
      </c>
      <c r="H147" s="191" t="n">
        <v>0</v>
      </c>
      <c r="I147" s="106" t="s">
        <v>1222</v>
      </c>
    </row>
    <row r="148" customFormat="false" ht="15" hidden="false" customHeight="false" outlineLevel="0" collapsed="false">
      <c r="A148" s="102" t="s">
        <v>1345</v>
      </c>
      <c r="B148" s="102" t="s">
        <v>358</v>
      </c>
      <c r="C148" s="177" t="s">
        <v>79</v>
      </c>
      <c r="D148" s="102" t="s">
        <v>11</v>
      </c>
      <c r="E148" s="177" t="s">
        <v>22</v>
      </c>
      <c r="F148" s="177" t="s">
        <v>1201</v>
      </c>
      <c r="G148" s="177" t="s">
        <v>20</v>
      </c>
      <c r="H148" s="190" t="n">
        <v>1</v>
      </c>
      <c r="I148" s="102" t="s">
        <v>601</v>
      </c>
    </row>
    <row r="149" customFormat="false" ht="15" hidden="false" customHeight="false" outlineLevel="0" collapsed="false">
      <c r="A149" s="106" t="s">
        <v>1346</v>
      </c>
      <c r="B149" s="106" t="s">
        <v>360</v>
      </c>
      <c r="C149" s="179" t="s">
        <v>361</v>
      </c>
      <c r="D149" s="106" t="s">
        <v>11</v>
      </c>
      <c r="E149" s="179" t="s">
        <v>22</v>
      </c>
      <c r="F149" s="179" t="s">
        <v>1187</v>
      </c>
      <c r="G149" s="179" t="s">
        <v>1188</v>
      </c>
      <c r="H149" s="191" t="n">
        <v>1</v>
      </c>
      <c r="I149" s="106" t="s">
        <v>601</v>
      </c>
    </row>
    <row r="150" customFormat="false" ht="15" hidden="false" customHeight="false" outlineLevel="0" collapsed="false">
      <c r="A150" s="102" t="s">
        <v>1347</v>
      </c>
      <c r="B150" s="102" t="s">
        <v>360</v>
      </c>
      <c r="C150" s="177" t="s">
        <v>361</v>
      </c>
      <c r="D150" s="102" t="s">
        <v>11</v>
      </c>
      <c r="E150" s="177" t="s">
        <v>22</v>
      </c>
      <c r="F150" s="177" t="s">
        <v>1199</v>
      </c>
      <c r="G150" s="177" t="s">
        <v>1188</v>
      </c>
      <c r="H150" s="190" t="n">
        <v>0.5</v>
      </c>
      <c r="I150" s="102" t="s">
        <v>1217</v>
      </c>
    </row>
    <row r="151" customFormat="false" ht="15" hidden="false" customHeight="false" outlineLevel="0" collapsed="false">
      <c r="A151" s="106" t="s">
        <v>1348</v>
      </c>
      <c r="B151" s="106" t="s">
        <v>360</v>
      </c>
      <c r="C151" s="179" t="s">
        <v>361</v>
      </c>
      <c r="D151" s="106" t="s">
        <v>11</v>
      </c>
      <c r="E151" s="179" t="s">
        <v>22</v>
      </c>
      <c r="F151" s="179" t="s">
        <v>1208</v>
      </c>
      <c r="G151" s="179" t="s">
        <v>1209</v>
      </c>
      <c r="H151" s="191" t="n">
        <v>1</v>
      </c>
      <c r="I151" s="106" t="s">
        <v>601</v>
      </c>
    </row>
    <row r="152" customFormat="false" ht="15" hidden="false" customHeight="false" outlineLevel="0" collapsed="false">
      <c r="A152" s="102" t="s">
        <v>1349</v>
      </c>
      <c r="B152" s="102" t="s">
        <v>360</v>
      </c>
      <c r="C152" s="177" t="s">
        <v>361</v>
      </c>
      <c r="D152" s="102" t="s">
        <v>11</v>
      </c>
      <c r="E152" s="177" t="s">
        <v>22</v>
      </c>
      <c r="F152" s="177" t="s">
        <v>1192</v>
      </c>
      <c r="G152" s="177" t="s">
        <v>1193</v>
      </c>
      <c r="H152" s="190" t="n">
        <v>0.5</v>
      </c>
      <c r="I152" s="102" t="s">
        <v>1217</v>
      </c>
    </row>
    <row r="153" customFormat="false" ht="15" hidden="false" customHeight="false" outlineLevel="0" collapsed="false">
      <c r="A153" s="106" t="s">
        <v>1350</v>
      </c>
      <c r="B153" s="106" t="s">
        <v>360</v>
      </c>
      <c r="C153" s="179" t="s">
        <v>361</v>
      </c>
      <c r="D153" s="106" t="s">
        <v>11</v>
      </c>
      <c r="E153" s="179" t="s">
        <v>22</v>
      </c>
      <c r="F153" s="179" t="s">
        <v>1195</v>
      </c>
      <c r="G153" s="179" t="s">
        <v>1196</v>
      </c>
      <c r="H153" s="191" t="n">
        <v>1</v>
      </c>
      <c r="I153" s="106" t="s">
        <v>601</v>
      </c>
    </row>
    <row r="154" customFormat="false" ht="15" hidden="false" customHeight="false" outlineLevel="0" collapsed="false">
      <c r="A154" s="102" t="s">
        <v>1351</v>
      </c>
      <c r="B154" s="102" t="s">
        <v>360</v>
      </c>
      <c r="C154" s="177" t="s">
        <v>361</v>
      </c>
      <c r="D154" s="102" t="s">
        <v>11</v>
      </c>
      <c r="E154" s="177" t="s">
        <v>22</v>
      </c>
      <c r="F154" s="177" t="s">
        <v>1182</v>
      </c>
      <c r="G154" s="177" t="s">
        <v>1183</v>
      </c>
      <c r="H154" s="190" t="n">
        <v>0.5</v>
      </c>
      <c r="I154" s="102" t="s">
        <v>1217</v>
      </c>
    </row>
    <row r="155" customFormat="false" ht="15" hidden="false" customHeight="false" outlineLevel="0" collapsed="false">
      <c r="A155" s="106" t="s">
        <v>1352</v>
      </c>
      <c r="B155" s="106" t="s">
        <v>360</v>
      </c>
      <c r="C155" s="179" t="s">
        <v>361</v>
      </c>
      <c r="D155" s="106" t="s">
        <v>11</v>
      </c>
      <c r="E155" s="179" t="s">
        <v>22</v>
      </c>
      <c r="F155" s="179" t="s">
        <v>1204</v>
      </c>
      <c r="G155" s="179" t="s">
        <v>1205</v>
      </c>
      <c r="H155" s="191" t="n">
        <v>1</v>
      </c>
      <c r="I155" s="106" t="s">
        <v>601</v>
      </c>
    </row>
    <row r="156" customFormat="false" ht="15" hidden="false" customHeight="false" outlineLevel="0" collapsed="false">
      <c r="A156" s="102" t="s">
        <v>1353</v>
      </c>
      <c r="B156" s="102" t="s">
        <v>363</v>
      </c>
      <c r="C156" s="177" t="s">
        <v>364</v>
      </c>
      <c r="D156" s="102" t="s">
        <v>11</v>
      </c>
      <c r="E156" s="177" t="s">
        <v>23</v>
      </c>
      <c r="F156" s="177" t="s">
        <v>1187</v>
      </c>
      <c r="G156" s="177" t="s">
        <v>1188</v>
      </c>
      <c r="H156" s="190" t="n">
        <v>1</v>
      </c>
      <c r="I156" s="102" t="s">
        <v>601</v>
      </c>
    </row>
    <row r="157" customFormat="false" ht="15" hidden="false" customHeight="false" outlineLevel="0" collapsed="false">
      <c r="A157" s="106" t="s">
        <v>1354</v>
      </c>
      <c r="B157" s="106" t="s">
        <v>363</v>
      </c>
      <c r="C157" s="179" t="s">
        <v>364</v>
      </c>
      <c r="D157" s="106" t="s">
        <v>11</v>
      </c>
      <c r="E157" s="179" t="s">
        <v>23</v>
      </c>
      <c r="F157" s="179" t="s">
        <v>1199</v>
      </c>
      <c r="G157" s="179" t="s">
        <v>1188</v>
      </c>
      <c r="H157" s="191" t="n">
        <v>1</v>
      </c>
      <c r="I157" s="106" t="s">
        <v>601</v>
      </c>
    </row>
    <row r="158" customFormat="false" ht="15" hidden="false" customHeight="false" outlineLevel="0" collapsed="false">
      <c r="A158" s="102" t="s">
        <v>1355</v>
      </c>
      <c r="B158" s="102" t="s">
        <v>363</v>
      </c>
      <c r="C158" s="177" t="s">
        <v>364</v>
      </c>
      <c r="D158" s="102" t="s">
        <v>11</v>
      </c>
      <c r="E158" s="177" t="s">
        <v>23</v>
      </c>
      <c r="F158" s="177" t="s">
        <v>1208</v>
      </c>
      <c r="G158" s="177" t="s">
        <v>1209</v>
      </c>
      <c r="H158" s="190" t="n">
        <v>1</v>
      </c>
      <c r="I158" s="102" t="s">
        <v>601</v>
      </c>
    </row>
    <row r="159" customFormat="false" ht="15" hidden="false" customHeight="false" outlineLevel="0" collapsed="false">
      <c r="A159" s="106" t="s">
        <v>1356</v>
      </c>
      <c r="B159" s="106" t="s">
        <v>363</v>
      </c>
      <c r="C159" s="179" t="s">
        <v>364</v>
      </c>
      <c r="D159" s="106" t="s">
        <v>11</v>
      </c>
      <c r="E159" s="179" t="s">
        <v>23</v>
      </c>
      <c r="F159" s="179" t="s">
        <v>1204</v>
      </c>
      <c r="G159" s="179" t="s">
        <v>1205</v>
      </c>
      <c r="H159" s="191" t="n">
        <v>1</v>
      </c>
      <c r="I159" s="106" t="s">
        <v>601</v>
      </c>
    </row>
    <row r="160" customFormat="false" ht="15" hidden="false" customHeight="false" outlineLevel="0" collapsed="false">
      <c r="A160" s="102" t="s">
        <v>1357</v>
      </c>
      <c r="B160" s="102" t="s">
        <v>363</v>
      </c>
      <c r="C160" s="177" t="s">
        <v>364</v>
      </c>
      <c r="D160" s="102" t="s">
        <v>11</v>
      </c>
      <c r="E160" s="177" t="s">
        <v>23</v>
      </c>
      <c r="F160" s="177" t="s">
        <v>1195</v>
      </c>
      <c r="G160" s="177" t="s">
        <v>1196</v>
      </c>
      <c r="H160" s="190" t="n">
        <v>1</v>
      </c>
      <c r="I160" s="102" t="s">
        <v>601</v>
      </c>
    </row>
    <row r="161" customFormat="false" ht="15" hidden="false" customHeight="false" outlineLevel="0" collapsed="false">
      <c r="A161" s="106" t="s">
        <v>1358</v>
      </c>
      <c r="B161" s="106" t="s">
        <v>363</v>
      </c>
      <c r="C161" s="179" t="s">
        <v>364</v>
      </c>
      <c r="D161" s="106" t="s">
        <v>11</v>
      </c>
      <c r="E161" s="179" t="s">
        <v>23</v>
      </c>
      <c r="F161" s="179" t="s">
        <v>1201</v>
      </c>
      <c r="G161" s="179" t="s">
        <v>20</v>
      </c>
      <c r="H161" s="191" t="n">
        <v>1</v>
      </c>
      <c r="I161" s="106" t="s">
        <v>601</v>
      </c>
    </row>
    <row r="162" customFormat="false" ht="15" hidden="false" customHeight="false" outlineLevel="0" collapsed="false">
      <c r="A162" s="102" t="s">
        <v>1359</v>
      </c>
      <c r="B162" s="102" t="s">
        <v>363</v>
      </c>
      <c r="C162" s="177" t="s">
        <v>364</v>
      </c>
      <c r="D162" s="102" t="s">
        <v>11</v>
      </c>
      <c r="E162" s="177" t="s">
        <v>23</v>
      </c>
      <c r="F162" s="177" t="s">
        <v>1192</v>
      </c>
      <c r="G162" s="177" t="s">
        <v>1193</v>
      </c>
      <c r="H162" s="190" t="n">
        <v>1</v>
      </c>
      <c r="I162" s="102" t="s">
        <v>601</v>
      </c>
    </row>
    <row r="163" customFormat="false" ht="15" hidden="false" customHeight="false" outlineLevel="0" collapsed="false">
      <c r="A163" s="106" t="s">
        <v>1360</v>
      </c>
      <c r="B163" s="106" t="s">
        <v>367</v>
      </c>
      <c r="C163" s="179" t="s">
        <v>119</v>
      </c>
      <c r="D163" s="106" t="s">
        <v>11</v>
      </c>
      <c r="E163" s="179" t="s">
        <v>23</v>
      </c>
      <c r="F163" s="179" t="s">
        <v>1187</v>
      </c>
      <c r="G163" s="179" t="s">
        <v>1188</v>
      </c>
      <c r="H163" s="191" t="n">
        <v>1</v>
      </c>
      <c r="I163" s="106" t="s">
        <v>601</v>
      </c>
    </row>
    <row r="164" customFormat="false" ht="15" hidden="false" customHeight="false" outlineLevel="0" collapsed="false">
      <c r="A164" s="102" t="s">
        <v>1361</v>
      </c>
      <c r="B164" s="102" t="s">
        <v>367</v>
      </c>
      <c r="C164" s="177" t="s">
        <v>119</v>
      </c>
      <c r="D164" s="102" t="s">
        <v>11</v>
      </c>
      <c r="E164" s="177" t="s">
        <v>23</v>
      </c>
      <c r="F164" s="177" t="s">
        <v>1199</v>
      </c>
      <c r="G164" s="177" t="s">
        <v>1188</v>
      </c>
      <c r="H164" s="190" t="n">
        <v>1</v>
      </c>
      <c r="I164" s="102" t="s">
        <v>601</v>
      </c>
    </row>
    <row r="165" customFormat="false" ht="15" hidden="false" customHeight="false" outlineLevel="0" collapsed="false">
      <c r="A165" s="106" t="s">
        <v>1362</v>
      </c>
      <c r="B165" s="106" t="s">
        <v>367</v>
      </c>
      <c r="C165" s="179" t="s">
        <v>119</v>
      </c>
      <c r="D165" s="106" t="s">
        <v>11</v>
      </c>
      <c r="E165" s="179" t="s">
        <v>23</v>
      </c>
      <c r="F165" s="179" t="s">
        <v>1208</v>
      </c>
      <c r="G165" s="179" t="s">
        <v>1209</v>
      </c>
      <c r="H165" s="191" t="n">
        <v>0.5</v>
      </c>
      <c r="I165" s="106" t="s">
        <v>1217</v>
      </c>
    </row>
    <row r="166" customFormat="false" ht="15" hidden="false" customHeight="false" outlineLevel="0" collapsed="false">
      <c r="A166" s="102" t="s">
        <v>1363</v>
      </c>
      <c r="B166" s="102" t="s">
        <v>367</v>
      </c>
      <c r="C166" s="177" t="s">
        <v>119</v>
      </c>
      <c r="D166" s="102" t="s">
        <v>11</v>
      </c>
      <c r="E166" s="177" t="s">
        <v>23</v>
      </c>
      <c r="F166" s="177" t="s">
        <v>1192</v>
      </c>
      <c r="G166" s="177" t="s">
        <v>1193</v>
      </c>
      <c r="H166" s="190" t="n">
        <v>0</v>
      </c>
      <c r="I166" s="102" t="s">
        <v>1222</v>
      </c>
    </row>
    <row r="167" customFormat="false" ht="15" hidden="false" customHeight="false" outlineLevel="0" collapsed="false">
      <c r="A167" s="106" t="s">
        <v>1364</v>
      </c>
      <c r="B167" s="106" t="s">
        <v>367</v>
      </c>
      <c r="C167" s="179" t="s">
        <v>119</v>
      </c>
      <c r="D167" s="106" t="s">
        <v>11</v>
      </c>
      <c r="E167" s="179" t="s">
        <v>23</v>
      </c>
      <c r="F167" s="179" t="s">
        <v>1195</v>
      </c>
      <c r="G167" s="179" t="s">
        <v>1196</v>
      </c>
      <c r="H167" s="191" t="n">
        <v>1</v>
      </c>
      <c r="I167" s="106" t="s">
        <v>601</v>
      </c>
    </row>
    <row r="168" customFormat="false" ht="15" hidden="false" customHeight="false" outlineLevel="0" collapsed="false">
      <c r="A168" s="102" t="s">
        <v>1365</v>
      </c>
      <c r="B168" s="102" t="s">
        <v>367</v>
      </c>
      <c r="C168" s="177" t="s">
        <v>119</v>
      </c>
      <c r="D168" s="102" t="s">
        <v>11</v>
      </c>
      <c r="E168" s="177" t="s">
        <v>23</v>
      </c>
      <c r="F168" s="177" t="s">
        <v>1201</v>
      </c>
      <c r="G168" s="177" t="s">
        <v>20</v>
      </c>
      <c r="H168" s="190" t="n">
        <v>1</v>
      </c>
      <c r="I168" s="102" t="s">
        <v>601</v>
      </c>
    </row>
    <row r="169" customFormat="false" ht="15" hidden="false" customHeight="false" outlineLevel="0" collapsed="false">
      <c r="A169" s="106" t="s">
        <v>1366</v>
      </c>
      <c r="B169" s="106" t="s">
        <v>367</v>
      </c>
      <c r="C169" s="179" t="s">
        <v>119</v>
      </c>
      <c r="D169" s="106" t="s">
        <v>11</v>
      </c>
      <c r="E169" s="179" t="s">
        <v>23</v>
      </c>
      <c r="F169" s="179" t="s">
        <v>1204</v>
      </c>
      <c r="G169" s="179" t="s">
        <v>1205</v>
      </c>
      <c r="H169" s="191" t="n">
        <v>0</v>
      </c>
      <c r="I169" s="106" t="s">
        <v>1222</v>
      </c>
    </row>
    <row r="170" customFormat="false" ht="15" hidden="false" customHeight="false" outlineLevel="0" collapsed="false">
      <c r="A170" s="102" t="s">
        <v>1367</v>
      </c>
      <c r="B170" s="102" t="s">
        <v>369</v>
      </c>
      <c r="C170" s="177" t="s">
        <v>370</v>
      </c>
      <c r="D170" s="102" t="s">
        <v>11</v>
      </c>
      <c r="E170" s="177" t="s">
        <v>24</v>
      </c>
      <c r="F170" s="177" t="s">
        <v>1187</v>
      </c>
      <c r="G170" s="177" t="s">
        <v>1188</v>
      </c>
      <c r="H170" s="190" t="n">
        <v>1</v>
      </c>
      <c r="I170" s="102" t="s">
        <v>601</v>
      </c>
    </row>
    <row r="171" customFormat="false" ht="15" hidden="false" customHeight="false" outlineLevel="0" collapsed="false">
      <c r="A171" s="106" t="s">
        <v>1368</v>
      </c>
      <c r="B171" s="106" t="s">
        <v>369</v>
      </c>
      <c r="C171" s="179" t="s">
        <v>370</v>
      </c>
      <c r="D171" s="106" t="s">
        <v>11</v>
      </c>
      <c r="E171" s="179" t="s">
        <v>24</v>
      </c>
      <c r="F171" s="179" t="s">
        <v>1199</v>
      </c>
      <c r="G171" s="179" t="s">
        <v>1188</v>
      </c>
      <c r="H171" s="191" t="n">
        <v>0.5</v>
      </c>
      <c r="I171" s="106" t="s">
        <v>1217</v>
      </c>
    </row>
    <row r="172" customFormat="false" ht="15" hidden="false" customHeight="false" outlineLevel="0" collapsed="false">
      <c r="A172" s="102" t="s">
        <v>1369</v>
      </c>
      <c r="B172" s="102" t="s">
        <v>369</v>
      </c>
      <c r="C172" s="177" t="s">
        <v>370</v>
      </c>
      <c r="D172" s="102" t="s">
        <v>11</v>
      </c>
      <c r="E172" s="177" t="s">
        <v>24</v>
      </c>
      <c r="F172" s="177" t="s">
        <v>1208</v>
      </c>
      <c r="G172" s="177" t="s">
        <v>1209</v>
      </c>
      <c r="H172" s="190" t="n">
        <v>1</v>
      </c>
      <c r="I172" s="102" t="s">
        <v>601</v>
      </c>
    </row>
    <row r="173" customFormat="false" ht="15" hidden="false" customHeight="false" outlineLevel="0" collapsed="false">
      <c r="A173" s="106" t="s">
        <v>1370</v>
      </c>
      <c r="B173" s="106" t="s">
        <v>369</v>
      </c>
      <c r="C173" s="179" t="s">
        <v>370</v>
      </c>
      <c r="D173" s="106" t="s">
        <v>11</v>
      </c>
      <c r="E173" s="179" t="s">
        <v>24</v>
      </c>
      <c r="F173" s="179" t="s">
        <v>1182</v>
      </c>
      <c r="G173" s="179" t="s">
        <v>1183</v>
      </c>
      <c r="H173" s="191" t="n">
        <v>0.75</v>
      </c>
      <c r="I173" s="106" t="s">
        <v>1217</v>
      </c>
    </row>
    <row r="174" customFormat="false" ht="15" hidden="false" customHeight="false" outlineLevel="0" collapsed="false">
      <c r="A174" s="102" t="s">
        <v>1371</v>
      </c>
      <c r="B174" s="102" t="s">
        <v>369</v>
      </c>
      <c r="C174" s="177" t="s">
        <v>370</v>
      </c>
      <c r="D174" s="102" t="s">
        <v>11</v>
      </c>
      <c r="E174" s="177" t="s">
        <v>24</v>
      </c>
      <c r="F174" s="177" t="s">
        <v>1195</v>
      </c>
      <c r="G174" s="177" t="s">
        <v>1196</v>
      </c>
      <c r="H174" s="190" t="n">
        <v>0.5</v>
      </c>
      <c r="I174" s="102" t="s">
        <v>1217</v>
      </c>
    </row>
    <row r="175" customFormat="false" ht="15" hidden="false" customHeight="false" outlineLevel="0" collapsed="false">
      <c r="A175" s="106" t="s">
        <v>1372</v>
      </c>
      <c r="B175" s="106" t="s">
        <v>369</v>
      </c>
      <c r="C175" s="179" t="s">
        <v>370</v>
      </c>
      <c r="D175" s="106" t="s">
        <v>11</v>
      </c>
      <c r="E175" s="179" t="s">
        <v>24</v>
      </c>
      <c r="F175" s="179" t="s">
        <v>1201</v>
      </c>
      <c r="G175" s="179" t="s">
        <v>20</v>
      </c>
      <c r="H175" s="191" t="n">
        <v>0.75</v>
      </c>
      <c r="I175" s="106" t="s">
        <v>1217</v>
      </c>
    </row>
    <row r="176" customFormat="false" ht="15" hidden="false" customHeight="false" outlineLevel="0" collapsed="false">
      <c r="A176" s="102" t="s">
        <v>1373</v>
      </c>
      <c r="B176" s="102" t="s">
        <v>372</v>
      </c>
      <c r="C176" s="177" t="s">
        <v>373</v>
      </c>
      <c r="D176" s="102" t="s">
        <v>11</v>
      </c>
      <c r="E176" s="177" t="s">
        <v>24</v>
      </c>
      <c r="F176" s="177" t="s">
        <v>1187</v>
      </c>
      <c r="G176" s="177" t="s">
        <v>1188</v>
      </c>
      <c r="H176" s="190" t="n">
        <v>1</v>
      </c>
      <c r="I176" s="102" t="s">
        <v>601</v>
      </c>
    </row>
    <row r="177" customFormat="false" ht="15" hidden="false" customHeight="false" outlineLevel="0" collapsed="false">
      <c r="A177" s="106" t="s">
        <v>1374</v>
      </c>
      <c r="B177" s="106" t="s">
        <v>372</v>
      </c>
      <c r="C177" s="179" t="s">
        <v>373</v>
      </c>
      <c r="D177" s="106" t="s">
        <v>11</v>
      </c>
      <c r="E177" s="179" t="s">
        <v>24</v>
      </c>
      <c r="F177" s="179" t="s">
        <v>1199</v>
      </c>
      <c r="G177" s="179" t="s">
        <v>1188</v>
      </c>
      <c r="H177" s="191" t="n">
        <v>1</v>
      </c>
      <c r="I177" s="106" t="s">
        <v>601</v>
      </c>
    </row>
    <row r="178" customFormat="false" ht="15" hidden="false" customHeight="false" outlineLevel="0" collapsed="false">
      <c r="A178" s="102" t="s">
        <v>1375</v>
      </c>
      <c r="B178" s="102" t="s">
        <v>372</v>
      </c>
      <c r="C178" s="177" t="s">
        <v>373</v>
      </c>
      <c r="D178" s="102" t="s">
        <v>11</v>
      </c>
      <c r="E178" s="177" t="s">
        <v>24</v>
      </c>
      <c r="F178" s="177" t="s">
        <v>1208</v>
      </c>
      <c r="G178" s="177" t="s">
        <v>1209</v>
      </c>
      <c r="H178" s="190" t="n">
        <v>1</v>
      </c>
      <c r="I178" s="102" t="s">
        <v>601</v>
      </c>
    </row>
    <row r="179" customFormat="false" ht="15" hidden="false" customHeight="false" outlineLevel="0" collapsed="false">
      <c r="A179" s="106" t="s">
        <v>1376</v>
      </c>
      <c r="B179" s="106" t="s">
        <v>372</v>
      </c>
      <c r="C179" s="179" t="s">
        <v>373</v>
      </c>
      <c r="D179" s="106" t="s">
        <v>11</v>
      </c>
      <c r="E179" s="179" t="s">
        <v>24</v>
      </c>
      <c r="F179" s="179" t="s">
        <v>1201</v>
      </c>
      <c r="G179" s="179" t="s">
        <v>20</v>
      </c>
      <c r="H179" s="191" t="n">
        <v>0.75</v>
      </c>
      <c r="I179" s="106" t="s">
        <v>1217</v>
      </c>
    </row>
    <row r="180" customFormat="false" ht="15" hidden="false" customHeight="false" outlineLevel="0" collapsed="false">
      <c r="A180" s="102" t="s">
        <v>1377</v>
      </c>
      <c r="B180" s="102" t="s">
        <v>372</v>
      </c>
      <c r="C180" s="177" t="s">
        <v>373</v>
      </c>
      <c r="D180" s="102" t="s">
        <v>11</v>
      </c>
      <c r="E180" s="177" t="s">
        <v>24</v>
      </c>
      <c r="F180" s="177" t="s">
        <v>1204</v>
      </c>
      <c r="G180" s="177" t="s">
        <v>1205</v>
      </c>
      <c r="H180" s="190" t="n">
        <v>0.75</v>
      </c>
      <c r="I180" s="102" t="s">
        <v>1217</v>
      </c>
    </row>
    <row r="181" customFormat="false" ht="15" hidden="false" customHeight="false" outlineLevel="0" collapsed="false">
      <c r="A181" s="106" t="s">
        <v>1378</v>
      </c>
      <c r="B181" s="106" t="s">
        <v>372</v>
      </c>
      <c r="C181" s="179" t="s">
        <v>373</v>
      </c>
      <c r="D181" s="106" t="s">
        <v>11</v>
      </c>
      <c r="E181" s="179" t="s">
        <v>24</v>
      </c>
      <c r="F181" s="179" t="s">
        <v>1182</v>
      </c>
      <c r="G181" s="179" t="s">
        <v>1183</v>
      </c>
      <c r="H181" s="191" t="n">
        <v>1</v>
      </c>
      <c r="I181" s="106" t="s">
        <v>601</v>
      </c>
    </row>
    <row r="182" customFormat="false" ht="15" hidden="false" customHeight="false" outlineLevel="0" collapsed="false">
      <c r="A182" s="102" t="s">
        <v>1379</v>
      </c>
      <c r="B182" s="102" t="s">
        <v>372</v>
      </c>
      <c r="C182" s="177" t="s">
        <v>373</v>
      </c>
      <c r="D182" s="102" t="s">
        <v>11</v>
      </c>
      <c r="E182" s="177" t="s">
        <v>24</v>
      </c>
      <c r="F182" s="177" t="s">
        <v>1192</v>
      </c>
      <c r="G182" s="177" t="s">
        <v>1193</v>
      </c>
      <c r="H182" s="190" t="n">
        <v>0.75</v>
      </c>
      <c r="I182" s="102" t="s">
        <v>1217</v>
      </c>
    </row>
    <row r="183" customFormat="false" ht="15" hidden="false" customHeight="false" outlineLevel="0" collapsed="false">
      <c r="A183" s="106" t="s">
        <v>1380</v>
      </c>
      <c r="B183" s="106" t="s">
        <v>375</v>
      </c>
      <c r="C183" s="179" t="s">
        <v>297</v>
      </c>
      <c r="D183" s="106" t="s">
        <v>11</v>
      </c>
      <c r="E183" s="179" t="s">
        <v>24</v>
      </c>
      <c r="F183" s="179" t="s">
        <v>1187</v>
      </c>
      <c r="G183" s="179" t="s">
        <v>1188</v>
      </c>
      <c r="H183" s="191" t="n">
        <v>1</v>
      </c>
      <c r="I183" s="106" t="s">
        <v>601</v>
      </c>
    </row>
    <row r="184" customFormat="false" ht="15" hidden="false" customHeight="false" outlineLevel="0" collapsed="false">
      <c r="A184" s="102" t="s">
        <v>1381</v>
      </c>
      <c r="B184" s="102" t="s">
        <v>375</v>
      </c>
      <c r="C184" s="177" t="s">
        <v>297</v>
      </c>
      <c r="D184" s="102" t="s">
        <v>11</v>
      </c>
      <c r="E184" s="177" t="s">
        <v>24</v>
      </c>
      <c r="F184" s="177" t="s">
        <v>1199</v>
      </c>
      <c r="G184" s="177" t="s">
        <v>1188</v>
      </c>
      <c r="H184" s="190" t="n">
        <v>0.5</v>
      </c>
      <c r="I184" s="102" t="s">
        <v>1217</v>
      </c>
    </row>
    <row r="185" customFormat="false" ht="15" hidden="false" customHeight="false" outlineLevel="0" collapsed="false">
      <c r="A185" s="106" t="s">
        <v>1382</v>
      </c>
      <c r="B185" s="106" t="s">
        <v>375</v>
      </c>
      <c r="C185" s="179" t="s">
        <v>297</v>
      </c>
      <c r="D185" s="106" t="s">
        <v>11</v>
      </c>
      <c r="E185" s="179" t="s">
        <v>24</v>
      </c>
      <c r="F185" s="179" t="s">
        <v>1208</v>
      </c>
      <c r="G185" s="179" t="s">
        <v>1209</v>
      </c>
      <c r="H185" s="191" t="n">
        <v>0.5</v>
      </c>
      <c r="I185" s="106" t="s">
        <v>1217</v>
      </c>
    </row>
    <row r="186" customFormat="false" ht="15" hidden="false" customHeight="false" outlineLevel="0" collapsed="false">
      <c r="A186" s="102" t="s">
        <v>1383</v>
      </c>
      <c r="B186" s="102" t="s">
        <v>375</v>
      </c>
      <c r="C186" s="177" t="s">
        <v>297</v>
      </c>
      <c r="D186" s="102" t="s">
        <v>11</v>
      </c>
      <c r="E186" s="177" t="s">
        <v>24</v>
      </c>
      <c r="F186" s="177" t="s">
        <v>1195</v>
      </c>
      <c r="G186" s="177" t="s">
        <v>1196</v>
      </c>
      <c r="H186" s="190" t="n">
        <v>1</v>
      </c>
      <c r="I186" s="102" t="s">
        <v>601</v>
      </c>
    </row>
    <row r="187" customFormat="false" ht="15" hidden="false" customHeight="false" outlineLevel="0" collapsed="false">
      <c r="A187" s="106" t="s">
        <v>1384</v>
      </c>
      <c r="B187" s="106" t="s">
        <v>375</v>
      </c>
      <c r="C187" s="179" t="s">
        <v>297</v>
      </c>
      <c r="D187" s="106" t="s">
        <v>11</v>
      </c>
      <c r="E187" s="179" t="s">
        <v>24</v>
      </c>
      <c r="F187" s="179" t="s">
        <v>1201</v>
      </c>
      <c r="G187" s="179" t="s">
        <v>20</v>
      </c>
      <c r="H187" s="191" t="n">
        <v>0</v>
      </c>
      <c r="I187" s="106" t="s">
        <v>1222</v>
      </c>
    </row>
    <row r="188" customFormat="false" ht="15" hidden="false" customHeight="false" outlineLevel="0" collapsed="false">
      <c r="A188" s="102" t="s">
        <v>1385</v>
      </c>
      <c r="B188" s="102" t="s">
        <v>375</v>
      </c>
      <c r="C188" s="177" t="s">
        <v>297</v>
      </c>
      <c r="D188" s="102" t="s">
        <v>11</v>
      </c>
      <c r="E188" s="177" t="s">
        <v>24</v>
      </c>
      <c r="F188" s="177" t="s">
        <v>1192</v>
      </c>
      <c r="G188" s="177" t="s">
        <v>1193</v>
      </c>
      <c r="H188" s="190" t="n">
        <v>1</v>
      </c>
      <c r="I188" s="102" t="s">
        <v>601</v>
      </c>
    </row>
    <row r="189" customFormat="false" ht="15" hidden="false" customHeight="false" outlineLevel="0" collapsed="false">
      <c r="A189" s="106" t="s">
        <v>1386</v>
      </c>
      <c r="B189" s="106" t="s">
        <v>375</v>
      </c>
      <c r="C189" s="179" t="s">
        <v>297</v>
      </c>
      <c r="D189" s="106" t="s">
        <v>11</v>
      </c>
      <c r="E189" s="179" t="s">
        <v>24</v>
      </c>
      <c r="F189" s="179" t="s">
        <v>1204</v>
      </c>
      <c r="G189" s="179" t="s">
        <v>1205</v>
      </c>
      <c r="H189" s="191" t="n">
        <v>1</v>
      </c>
      <c r="I189" s="106" t="s">
        <v>601</v>
      </c>
    </row>
    <row r="190" customFormat="false" ht="15" hidden="false" customHeight="false" outlineLevel="0" collapsed="false">
      <c r="A190" s="102" t="s">
        <v>1387</v>
      </c>
      <c r="B190" s="102" t="s">
        <v>376</v>
      </c>
      <c r="C190" s="177" t="s">
        <v>377</v>
      </c>
      <c r="D190" s="102" t="s">
        <v>11</v>
      </c>
      <c r="E190" s="177" t="s">
        <v>25</v>
      </c>
      <c r="F190" s="177" t="s">
        <v>1187</v>
      </c>
      <c r="G190" s="177" t="s">
        <v>1188</v>
      </c>
      <c r="H190" s="190" t="n">
        <v>1</v>
      </c>
      <c r="I190" s="102" t="s">
        <v>601</v>
      </c>
    </row>
    <row r="191" customFormat="false" ht="15" hidden="false" customHeight="false" outlineLevel="0" collapsed="false">
      <c r="A191" s="106" t="s">
        <v>1388</v>
      </c>
      <c r="B191" s="106" t="s">
        <v>376</v>
      </c>
      <c r="C191" s="179" t="s">
        <v>377</v>
      </c>
      <c r="D191" s="106" t="s">
        <v>11</v>
      </c>
      <c r="E191" s="179" t="s">
        <v>25</v>
      </c>
      <c r="F191" s="179" t="s">
        <v>1199</v>
      </c>
      <c r="G191" s="179" t="s">
        <v>1188</v>
      </c>
      <c r="H191" s="191" t="n">
        <v>1</v>
      </c>
      <c r="I191" s="106" t="s">
        <v>601</v>
      </c>
    </row>
    <row r="192" customFormat="false" ht="15" hidden="false" customHeight="false" outlineLevel="0" collapsed="false">
      <c r="A192" s="102" t="s">
        <v>1389</v>
      </c>
      <c r="B192" s="102" t="s">
        <v>376</v>
      </c>
      <c r="C192" s="177" t="s">
        <v>377</v>
      </c>
      <c r="D192" s="102" t="s">
        <v>11</v>
      </c>
      <c r="E192" s="177" t="s">
        <v>25</v>
      </c>
      <c r="F192" s="177" t="s">
        <v>1208</v>
      </c>
      <c r="G192" s="177" t="s">
        <v>1209</v>
      </c>
      <c r="H192" s="190" t="n">
        <v>1</v>
      </c>
      <c r="I192" s="102" t="s">
        <v>601</v>
      </c>
    </row>
    <row r="193" customFormat="false" ht="15" hidden="false" customHeight="false" outlineLevel="0" collapsed="false">
      <c r="A193" s="106" t="s">
        <v>1390</v>
      </c>
      <c r="B193" s="106" t="s">
        <v>376</v>
      </c>
      <c r="C193" s="179" t="s">
        <v>377</v>
      </c>
      <c r="D193" s="106" t="s">
        <v>11</v>
      </c>
      <c r="E193" s="179" t="s">
        <v>25</v>
      </c>
      <c r="F193" s="179" t="s">
        <v>1204</v>
      </c>
      <c r="G193" s="179" t="s">
        <v>1205</v>
      </c>
      <c r="H193" s="191" t="n">
        <v>1</v>
      </c>
      <c r="I193" s="106" t="s">
        <v>601</v>
      </c>
    </row>
    <row r="194" customFormat="false" ht="15" hidden="false" customHeight="false" outlineLevel="0" collapsed="false">
      <c r="A194" s="102" t="s">
        <v>1391</v>
      </c>
      <c r="B194" s="102" t="s">
        <v>376</v>
      </c>
      <c r="C194" s="177" t="s">
        <v>377</v>
      </c>
      <c r="D194" s="102" t="s">
        <v>11</v>
      </c>
      <c r="E194" s="177" t="s">
        <v>25</v>
      </c>
      <c r="F194" s="177" t="s">
        <v>1201</v>
      </c>
      <c r="G194" s="177" t="s">
        <v>20</v>
      </c>
      <c r="H194" s="190" t="n">
        <v>0.5</v>
      </c>
      <c r="I194" s="102" t="s">
        <v>1217</v>
      </c>
    </row>
    <row r="195" customFormat="false" ht="15" hidden="false" customHeight="false" outlineLevel="0" collapsed="false">
      <c r="A195" s="106" t="s">
        <v>1392</v>
      </c>
      <c r="B195" s="106" t="s">
        <v>379</v>
      </c>
      <c r="C195" s="179" t="s">
        <v>380</v>
      </c>
      <c r="D195" s="106" t="s">
        <v>11</v>
      </c>
      <c r="E195" s="179" t="s">
        <v>25</v>
      </c>
      <c r="F195" s="179" t="s">
        <v>1187</v>
      </c>
      <c r="G195" s="179" t="s">
        <v>1188</v>
      </c>
      <c r="H195" s="191" t="n">
        <v>0.5</v>
      </c>
      <c r="I195" s="106" t="s">
        <v>1217</v>
      </c>
    </row>
    <row r="196" customFormat="false" ht="15" hidden="false" customHeight="false" outlineLevel="0" collapsed="false">
      <c r="A196" s="102" t="s">
        <v>1393</v>
      </c>
      <c r="B196" s="102" t="s">
        <v>379</v>
      </c>
      <c r="C196" s="177" t="s">
        <v>380</v>
      </c>
      <c r="D196" s="102" t="s">
        <v>11</v>
      </c>
      <c r="E196" s="177" t="s">
        <v>25</v>
      </c>
      <c r="F196" s="177" t="s">
        <v>1199</v>
      </c>
      <c r="G196" s="177" t="s">
        <v>1188</v>
      </c>
      <c r="H196" s="190" t="n">
        <v>0.75</v>
      </c>
      <c r="I196" s="102" t="s">
        <v>1217</v>
      </c>
    </row>
    <row r="197" customFormat="false" ht="15" hidden="false" customHeight="false" outlineLevel="0" collapsed="false">
      <c r="A197" s="106" t="s">
        <v>1394</v>
      </c>
      <c r="B197" s="106" t="s">
        <v>379</v>
      </c>
      <c r="C197" s="179" t="s">
        <v>380</v>
      </c>
      <c r="D197" s="106" t="s">
        <v>11</v>
      </c>
      <c r="E197" s="179" t="s">
        <v>25</v>
      </c>
      <c r="F197" s="179" t="s">
        <v>1208</v>
      </c>
      <c r="G197" s="179" t="s">
        <v>1209</v>
      </c>
      <c r="H197" s="191" t="n">
        <v>0.25</v>
      </c>
      <c r="I197" s="106" t="s">
        <v>1222</v>
      </c>
    </row>
    <row r="198" customFormat="false" ht="15" hidden="false" customHeight="false" outlineLevel="0" collapsed="false">
      <c r="A198" s="102" t="s">
        <v>1395</v>
      </c>
      <c r="B198" s="102" t="s">
        <v>379</v>
      </c>
      <c r="C198" s="177" t="s">
        <v>380</v>
      </c>
      <c r="D198" s="102" t="s">
        <v>11</v>
      </c>
      <c r="E198" s="177" t="s">
        <v>25</v>
      </c>
      <c r="F198" s="177" t="s">
        <v>1204</v>
      </c>
      <c r="G198" s="177" t="s">
        <v>1205</v>
      </c>
      <c r="H198" s="190" t="n">
        <v>0.75</v>
      </c>
      <c r="I198" s="102" t="s">
        <v>1217</v>
      </c>
    </row>
    <row r="199" customFormat="false" ht="15" hidden="false" customHeight="false" outlineLevel="0" collapsed="false">
      <c r="A199" s="106" t="s">
        <v>1396</v>
      </c>
      <c r="B199" s="106" t="s">
        <v>379</v>
      </c>
      <c r="C199" s="179" t="s">
        <v>380</v>
      </c>
      <c r="D199" s="106" t="s">
        <v>11</v>
      </c>
      <c r="E199" s="179" t="s">
        <v>25</v>
      </c>
      <c r="F199" s="179" t="s">
        <v>1192</v>
      </c>
      <c r="G199" s="179" t="s">
        <v>1193</v>
      </c>
      <c r="H199" s="191" t="n">
        <v>1</v>
      </c>
      <c r="I199" s="106" t="s">
        <v>601</v>
      </c>
    </row>
    <row r="200" customFormat="false" ht="15" hidden="false" customHeight="false" outlineLevel="0" collapsed="false">
      <c r="A200" s="102" t="s">
        <v>1397</v>
      </c>
      <c r="B200" s="102" t="s">
        <v>379</v>
      </c>
      <c r="C200" s="177" t="s">
        <v>380</v>
      </c>
      <c r="D200" s="102" t="s">
        <v>11</v>
      </c>
      <c r="E200" s="177" t="s">
        <v>25</v>
      </c>
      <c r="F200" s="177" t="s">
        <v>1195</v>
      </c>
      <c r="G200" s="177" t="s">
        <v>1196</v>
      </c>
      <c r="H200" s="190" t="n">
        <v>1</v>
      </c>
      <c r="I200" s="102" t="s">
        <v>601</v>
      </c>
    </row>
    <row r="201" customFormat="false" ht="15" hidden="false" customHeight="false" outlineLevel="0" collapsed="false">
      <c r="A201" s="106" t="s">
        <v>1398</v>
      </c>
      <c r="B201" s="106" t="s">
        <v>382</v>
      </c>
      <c r="C201" s="179" t="s">
        <v>383</v>
      </c>
      <c r="D201" s="106" t="s">
        <v>11</v>
      </c>
      <c r="E201" s="179" t="s">
        <v>15</v>
      </c>
      <c r="F201" s="179" t="s">
        <v>1187</v>
      </c>
      <c r="G201" s="179" t="s">
        <v>1188</v>
      </c>
      <c r="H201" s="191" t="n">
        <v>1</v>
      </c>
      <c r="I201" s="106" t="s">
        <v>601</v>
      </c>
    </row>
    <row r="202" customFormat="false" ht="15" hidden="false" customHeight="false" outlineLevel="0" collapsed="false">
      <c r="A202" s="102" t="s">
        <v>1399</v>
      </c>
      <c r="B202" s="102" t="s">
        <v>382</v>
      </c>
      <c r="C202" s="177" t="s">
        <v>383</v>
      </c>
      <c r="D202" s="102" t="s">
        <v>11</v>
      </c>
      <c r="E202" s="177" t="s">
        <v>15</v>
      </c>
      <c r="F202" s="177" t="s">
        <v>1199</v>
      </c>
      <c r="G202" s="177" t="s">
        <v>1188</v>
      </c>
      <c r="H202" s="190" t="n">
        <v>1</v>
      </c>
      <c r="I202" s="102" t="s">
        <v>601</v>
      </c>
    </row>
    <row r="203" customFormat="false" ht="15" hidden="false" customHeight="false" outlineLevel="0" collapsed="false">
      <c r="A203" s="106" t="s">
        <v>1400</v>
      </c>
      <c r="B203" s="106" t="s">
        <v>382</v>
      </c>
      <c r="C203" s="179" t="s">
        <v>383</v>
      </c>
      <c r="D203" s="106" t="s">
        <v>11</v>
      </c>
      <c r="E203" s="179" t="s">
        <v>15</v>
      </c>
      <c r="F203" s="179" t="s">
        <v>1208</v>
      </c>
      <c r="G203" s="179" t="s">
        <v>1209</v>
      </c>
      <c r="H203" s="191" t="n">
        <v>0</v>
      </c>
      <c r="I203" s="106" t="s">
        <v>1222</v>
      </c>
    </row>
    <row r="204" customFormat="false" ht="15" hidden="false" customHeight="false" outlineLevel="0" collapsed="false">
      <c r="A204" s="102" t="s">
        <v>1401</v>
      </c>
      <c r="B204" s="102" t="s">
        <v>382</v>
      </c>
      <c r="C204" s="177" t="s">
        <v>383</v>
      </c>
      <c r="D204" s="102" t="s">
        <v>11</v>
      </c>
      <c r="E204" s="177" t="s">
        <v>15</v>
      </c>
      <c r="F204" s="177" t="s">
        <v>1182</v>
      </c>
      <c r="G204" s="177" t="s">
        <v>1183</v>
      </c>
      <c r="H204" s="190" t="n">
        <v>1</v>
      </c>
      <c r="I204" s="102" t="s">
        <v>601</v>
      </c>
    </row>
    <row r="205" customFormat="false" ht="15" hidden="false" customHeight="false" outlineLevel="0" collapsed="false">
      <c r="A205" s="106" t="s">
        <v>1402</v>
      </c>
      <c r="B205" s="106" t="s">
        <v>382</v>
      </c>
      <c r="C205" s="179" t="s">
        <v>383</v>
      </c>
      <c r="D205" s="106" t="s">
        <v>11</v>
      </c>
      <c r="E205" s="179" t="s">
        <v>15</v>
      </c>
      <c r="F205" s="179" t="s">
        <v>1204</v>
      </c>
      <c r="G205" s="179" t="s">
        <v>1205</v>
      </c>
      <c r="H205" s="191" t="n">
        <v>1</v>
      </c>
      <c r="I205" s="106" t="s">
        <v>601</v>
      </c>
    </row>
    <row r="206" customFormat="false" ht="15" hidden="false" customHeight="false" outlineLevel="0" collapsed="false">
      <c r="A206" s="102" t="s">
        <v>1403</v>
      </c>
      <c r="B206" s="102" t="s">
        <v>382</v>
      </c>
      <c r="C206" s="177" t="s">
        <v>383</v>
      </c>
      <c r="D206" s="102" t="s">
        <v>11</v>
      </c>
      <c r="E206" s="177" t="s">
        <v>15</v>
      </c>
      <c r="F206" s="177" t="s">
        <v>1201</v>
      </c>
      <c r="G206" s="177" t="s">
        <v>20</v>
      </c>
      <c r="H206" s="190" t="n">
        <v>1</v>
      </c>
      <c r="I206" s="102" t="s">
        <v>601</v>
      </c>
    </row>
    <row r="207" customFormat="false" ht="15" hidden="false" customHeight="false" outlineLevel="0" collapsed="false">
      <c r="A207" s="106" t="s">
        <v>1404</v>
      </c>
      <c r="B207" s="106" t="s">
        <v>161</v>
      </c>
      <c r="C207" s="179" t="s">
        <v>162</v>
      </c>
      <c r="D207" s="106" t="s">
        <v>11</v>
      </c>
      <c r="E207" s="179" t="s">
        <v>15</v>
      </c>
      <c r="F207" s="179" t="s">
        <v>1187</v>
      </c>
      <c r="G207" s="179" t="s">
        <v>1188</v>
      </c>
      <c r="H207" s="191" t="n">
        <v>1</v>
      </c>
      <c r="I207" s="106" t="s">
        <v>601</v>
      </c>
    </row>
    <row r="208" customFormat="false" ht="15" hidden="false" customHeight="false" outlineLevel="0" collapsed="false">
      <c r="A208" s="102" t="s">
        <v>1405</v>
      </c>
      <c r="B208" s="102" t="s">
        <v>161</v>
      </c>
      <c r="C208" s="177" t="s">
        <v>162</v>
      </c>
      <c r="D208" s="102" t="s">
        <v>11</v>
      </c>
      <c r="E208" s="177" t="s">
        <v>15</v>
      </c>
      <c r="F208" s="177" t="s">
        <v>1199</v>
      </c>
      <c r="G208" s="177" t="s">
        <v>1188</v>
      </c>
      <c r="H208" s="190" t="n">
        <v>1</v>
      </c>
      <c r="I208" s="102" t="s">
        <v>601</v>
      </c>
    </row>
    <row r="209" customFormat="false" ht="15" hidden="false" customHeight="false" outlineLevel="0" collapsed="false">
      <c r="A209" s="106" t="s">
        <v>1406</v>
      </c>
      <c r="B209" s="106" t="s">
        <v>161</v>
      </c>
      <c r="C209" s="179" t="s">
        <v>162</v>
      </c>
      <c r="D209" s="106" t="s">
        <v>11</v>
      </c>
      <c r="E209" s="179" t="s">
        <v>15</v>
      </c>
      <c r="F209" s="179" t="s">
        <v>1208</v>
      </c>
      <c r="G209" s="179" t="s">
        <v>1209</v>
      </c>
      <c r="H209" s="191" t="n">
        <v>1</v>
      </c>
      <c r="I209" s="106" t="s">
        <v>601</v>
      </c>
    </row>
    <row r="210" customFormat="false" ht="15" hidden="false" customHeight="false" outlineLevel="0" collapsed="false">
      <c r="A210" s="102" t="s">
        <v>1407</v>
      </c>
      <c r="B210" s="102" t="s">
        <v>161</v>
      </c>
      <c r="C210" s="177" t="s">
        <v>162</v>
      </c>
      <c r="D210" s="102" t="s">
        <v>11</v>
      </c>
      <c r="E210" s="177" t="s">
        <v>15</v>
      </c>
      <c r="F210" s="177" t="s">
        <v>1195</v>
      </c>
      <c r="G210" s="177" t="s">
        <v>1196</v>
      </c>
      <c r="H210" s="190" t="n">
        <v>0.25</v>
      </c>
      <c r="I210" s="102" t="s">
        <v>1222</v>
      </c>
    </row>
    <row r="211" customFormat="false" ht="15" hidden="false" customHeight="false" outlineLevel="0" collapsed="false">
      <c r="A211" s="106" t="s">
        <v>1408</v>
      </c>
      <c r="B211" s="106" t="s">
        <v>161</v>
      </c>
      <c r="C211" s="179" t="s">
        <v>162</v>
      </c>
      <c r="D211" s="106" t="s">
        <v>11</v>
      </c>
      <c r="E211" s="179" t="s">
        <v>15</v>
      </c>
      <c r="F211" s="179" t="s">
        <v>1192</v>
      </c>
      <c r="G211" s="179" t="s">
        <v>1193</v>
      </c>
      <c r="H211" s="191" t="n">
        <v>1</v>
      </c>
      <c r="I211" s="106" t="s">
        <v>601</v>
      </c>
    </row>
    <row r="212" customFormat="false" ht="15" hidden="false" customHeight="false" outlineLevel="0" collapsed="false">
      <c r="A212" s="102" t="s">
        <v>1409</v>
      </c>
      <c r="B212" s="102" t="s">
        <v>161</v>
      </c>
      <c r="C212" s="177" t="s">
        <v>162</v>
      </c>
      <c r="D212" s="102" t="s">
        <v>11</v>
      </c>
      <c r="E212" s="177" t="s">
        <v>15</v>
      </c>
      <c r="F212" s="177" t="s">
        <v>1201</v>
      </c>
      <c r="G212" s="177" t="s">
        <v>20</v>
      </c>
      <c r="H212" s="190" t="n">
        <v>1</v>
      </c>
      <c r="I212" s="102" t="s">
        <v>601</v>
      </c>
    </row>
    <row r="213" customFormat="false" ht="15" hidden="false" customHeight="false" outlineLevel="0" collapsed="false">
      <c r="A213" s="106" t="s">
        <v>1410</v>
      </c>
      <c r="B213" s="106" t="s">
        <v>161</v>
      </c>
      <c r="C213" s="179" t="s">
        <v>162</v>
      </c>
      <c r="D213" s="106" t="s">
        <v>11</v>
      </c>
      <c r="E213" s="179" t="s">
        <v>15</v>
      </c>
      <c r="F213" s="179" t="s">
        <v>1182</v>
      </c>
      <c r="G213" s="179" t="s">
        <v>1183</v>
      </c>
      <c r="H213" s="191" t="n">
        <v>1</v>
      </c>
      <c r="I213" s="106" t="s">
        <v>601</v>
      </c>
    </row>
    <row r="214" customFormat="false" ht="15" hidden="false" customHeight="false" outlineLevel="0" collapsed="false">
      <c r="A214" s="102" t="s">
        <v>1411</v>
      </c>
      <c r="B214" s="102" t="s">
        <v>388</v>
      </c>
      <c r="C214" s="177" t="s">
        <v>389</v>
      </c>
      <c r="D214" s="102" t="s">
        <v>11</v>
      </c>
      <c r="E214" s="177" t="s">
        <v>15</v>
      </c>
      <c r="F214" s="177" t="s">
        <v>1187</v>
      </c>
      <c r="G214" s="177" t="s">
        <v>1188</v>
      </c>
      <c r="H214" s="190" t="n">
        <v>0.75</v>
      </c>
      <c r="I214" s="102" t="s">
        <v>1217</v>
      </c>
    </row>
    <row r="215" customFormat="false" ht="15" hidden="false" customHeight="false" outlineLevel="0" collapsed="false">
      <c r="A215" s="106" t="s">
        <v>1412</v>
      </c>
      <c r="B215" s="106" t="s">
        <v>388</v>
      </c>
      <c r="C215" s="179" t="s">
        <v>389</v>
      </c>
      <c r="D215" s="106" t="s">
        <v>11</v>
      </c>
      <c r="E215" s="179" t="s">
        <v>15</v>
      </c>
      <c r="F215" s="179" t="s">
        <v>1199</v>
      </c>
      <c r="G215" s="179" t="s">
        <v>1188</v>
      </c>
      <c r="H215" s="191" t="n">
        <v>1</v>
      </c>
      <c r="I215" s="106" t="s">
        <v>601</v>
      </c>
    </row>
    <row r="216" customFormat="false" ht="15" hidden="false" customHeight="false" outlineLevel="0" collapsed="false">
      <c r="A216" s="102" t="s">
        <v>1413</v>
      </c>
      <c r="B216" s="102" t="s">
        <v>388</v>
      </c>
      <c r="C216" s="177" t="s">
        <v>389</v>
      </c>
      <c r="D216" s="102" t="s">
        <v>11</v>
      </c>
      <c r="E216" s="177" t="s">
        <v>15</v>
      </c>
      <c r="F216" s="177" t="s">
        <v>1208</v>
      </c>
      <c r="G216" s="177" t="s">
        <v>1209</v>
      </c>
      <c r="H216" s="190" t="n">
        <v>1</v>
      </c>
      <c r="I216" s="102" t="s">
        <v>601</v>
      </c>
    </row>
    <row r="217" customFormat="false" ht="15" hidden="false" customHeight="false" outlineLevel="0" collapsed="false">
      <c r="A217" s="106" t="s">
        <v>1414</v>
      </c>
      <c r="B217" s="106" t="s">
        <v>388</v>
      </c>
      <c r="C217" s="179" t="s">
        <v>389</v>
      </c>
      <c r="D217" s="106" t="s">
        <v>11</v>
      </c>
      <c r="E217" s="179" t="s">
        <v>15</v>
      </c>
      <c r="F217" s="179" t="s">
        <v>1192</v>
      </c>
      <c r="G217" s="179" t="s">
        <v>1193</v>
      </c>
      <c r="H217" s="191" t="n">
        <v>1</v>
      </c>
      <c r="I217" s="106" t="s">
        <v>601</v>
      </c>
    </row>
    <row r="218" customFormat="false" ht="15" hidden="false" customHeight="false" outlineLevel="0" collapsed="false">
      <c r="A218" s="102" t="s">
        <v>1415</v>
      </c>
      <c r="B218" s="102" t="s">
        <v>388</v>
      </c>
      <c r="C218" s="177" t="s">
        <v>389</v>
      </c>
      <c r="D218" s="102" t="s">
        <v>11</v>
      </c>
      <c r="E218" s="177" t="s">
        <v>15</v>
      </c>
      <c r="F218" s="177" t="s">
        <v>1201</v>
      </c>
      <c r="G218" s="177" t="s">
        <v>20</v>
      </c>
      <c r="H218" s="190" t="n">
        <v>1</v>
      </c>
      <c r="I218" s="102" t="s">
        <v>601</v>
      </c>
    </row>
    <row r="219" customFormat="false" ht="15" hidden="false" customHeight="false" outlineLevel="0" collapsed="false">
      <c r="A219" s="106" t="s">
        <v>1416</v>
      </c>
      <c r="B219" s="106" t="s">
        <v>388</v>
      </c>
      <c r="C219" s="179" t="s">
        <v>389</v>
      </c>
      <c r="D219" s="106" t="s">
        <v>11</v>
      </c>
      <c r="E219" s="179" t="s">
        <v>15</v>
      </c>
      <c r="F219" s="179" t="s">
        <v>1195</v>
      </c>
      <c r="G219" s="179" t="s">
        <v>1196</v>
      </c>
      <c r="H219" s="191" t="n">
        <v>1</v>
      </c>
      <c r="I219" s="106" t="s">
        <v>601</v>
      </c>
    </row>
    <row r="220" customFormat="false" ht="15" hidden="false" customHeight="false" outlineLevel="0" collapsed="false">
      <c r="A220" s="102" t="s">
        <v>1417</v>
      </c>
      <c r="B220" s="102" t="s">
        <v>388</v>
      </c>
      <c r="C220" s="177" t="s">
        <v>389</v>
      </c>
      <c r="D220" s="102" t="s">
        <v>11</v>
      </c>
      <c r="E220" s="177" t="s">
        <v>15</v>
      </c>
      <c r="F220" s="177" t="s">
        <v>1182</v>
      </c>
      <c r="G220" s="177" t="s">
        <v>1183</v>
      </c>
      <c r="H220" s="190" t="n">
        <v>1</v>
      </c>
      <c r="I220" s="102" t="s">
        <v>601</v>
      </c>
    </row>
    <row r="221" customFormat="false" ht="15" hidden="false" customHeight="false" outlineLevel="0" collapsed="false">
      <c r="A221" s="106" t="s">
        <v>1418</v>
      </c>
      <c r="B221" s="106" t="s">
        <v>390</v>
      </c>
      <c r="C221" s="179" t="s">
        <v>391</v>
      </c>
      <c r="D221" s="106" t="s">
        <v>11</v>
      </c>
      <c r="E221" s="179" t="s">
        <v>15</v>
      </c>
      <c r="F221" s="179" t="s">
        <v>1187</v>
      </c>
      <c r="G221" s="179" t="s">
        <v>1188</v>
      </c>
      <c r="H221" s="191" t="n">
        <v>1</v>
      </c>
      <c r="I221" s="106" t="s">
        <v>601</v>
      </c>
    </row>
    <row r="222" customFormat="false" ht="15" hidden="false" customHeight="false" outlineLevel="0" collapsed="false">
      <c r="A222" s="102" t="s">
        <v>1419</v>
      </c>
      <c r="B222" s="102" t="s">
        <v>390</v>
      </c>
      <c r="C222" s="177" t="s">
        <v>391</v>
      </c>
      <c r="D222" s="102" t="s">
        <v>11</v>
      </c>
      <c r="E222" s="177" t="s">
        <v>15</v>
      </c>
      <c r="F222" s="177" t="s">
        <v>1199</v>
      </c>
      <c r="G222" s="177" t="s">
        <v>1188</v>
      </c>
      <c r="H222" s="190" t="n">
        <v>1</v>
      </c>
      <c r="I222" s="102" t="s">
        <v>601</v>
      </c>
    </row>
    <row r="223" customFormat="false" ht="15" hidden="false" customHeight="false" outlineLevel="0" collapsed="false">
      <c r="A223" s="106" t="s">
        <v>1420</v>
      </c>
      <c r="B223" s="106" t="s">
        <v>390</v>
      </c>
      <c r="C223" s="179" t="s">
        <v>391</v>
      </c>
      <c r="D223" s="106" t="s">
        <v>11</v>
      </c>
      <c r="E223" s="179" t="s">
        <v>15</v>
      </c>
      <c r="F223" s="179" t="s">
        <v>1208</v>
      </c>
      <c r="G223" s="179" t="s">
        <v>1209</v>
      </c>
      <c r="H223" s="191" t="n">
        <v>1</v>
      </c>
      <c r="I223" s="106" t="s">
        <v>601</v>
      </c>
    </row>
    <row r="224" customFormat="false" ht="15" hidden="false" customHeight="false" outlineLevel="0" collapsed="false">
      <c r="A224" s="102" t="s">
        <v>1421</v>
      </c>
      <c r="B224" s="102" t="s">
        <v>390</v>
      </c>
      <c r="C224" s="177" t="s">
        <v>391</v>
      </c>
      <c r="D224" s="102" t="s">
        <v>11</v>
      </c>
      <c r="E224" s="177" t="s">
        <v>15</v>
      </c>
      <c r="F224" s="177" t="s">
        <v>1195</v>
      </c>
      <c r="G224" s="177" t="s">
        <v>1196</v>
      </c>
      <c r="H224" s="190" t="n">
        <v>0.5</v>
      </c>
      <c r="I224" s="102" t="s">
        <v>1217</v>
      </c>
    </row>
    <row r="225" customFormat="false" ht="15" hidden="false" customHeight="false" outlineLevel="0" collapsed="false">
      <c r="A225" s="106" t="s">
        <v>1422</v>
      </c>
      <c r="B225" s="106" t="s">
        <v>390</v>
      </c>
      <c r="C225" s="179" t="s">
        <v>391</v>
      </c>
      <c r="D225" s="106" t="s">
        <v>11</v>
      </c>
      <c r="E225" s="179" t="s">
        <v>15</v>
      </c>
      <c r="F225" s="179" t="s">
        <v>1182</v>
      </c>
      <c r="G225" s="179" t="s">
        <v>1183</v>
      </c>
      <c r="H225" s="191" t="n">
        <v>1</v>
      </c>
      <c r="I225" s="106" t="s">
        <v>601</v>
      </c>
    </row>
    <row r="226" customFormat="false" ht="15" hidden="false" customHeight="false" outlineLevel="0" collapsed="false">
      <c r="A226" s="102" t="s">
        <v>1423</v>
      </c>
      <c r="B226" s="102" t="s">
        <v>390</v>
      </c>
      <c r="C226" s="177" t="s">
        <v>391</v>
      </c>
      <c r="D226" s="102" t="s">
        <v>11</v>
      </c>
      <c r="E226" s="177" t="s">
        <v>15</v>
      </c>
      <c r="F226" s="177" t="s">
        <v>1192</v>
      </c>
      <c r="G226" s="177" t="s">
        <v>1193</v>
      </c>
      <c r="H226" s="190" t="n">
        <v>1</v>
      </c>
      <c r="I226" s="102" t="s">
        <v>601</v>
      </c>
    </row>
    <row r="227" customFormat="false" ht="15" hidden="false" customHeight="false" outlineLevel="0" collapsed="false">
      <c r="A227" s="106" t="s">
        <v>1424</v>
      </c>
      <c r="B227" s="106" t="s">
        <v>390</v>
      </c>
      <c r="C227" s="179" t="s">
        <v>391</v>
      </c>
      <c r="D227" s="106" t="s">
        <v>11</v>
      </c>
      <c r="E227" s="179" t="s">
        <v>15</v>
      </c>
      <c r="F227" s="179" t="s">
        <v>1201</v>
      </c>
      <c r="G227" s="179" t="s">
        <v>20</v>
      </c>
      <c r="H227" s="191" t="n">
        <v>1</v>
      </c>
      <c r="I227" s="106" t="s">
        <v>601</v>
      </c>
    </row>
    <row r="228" customFormat="false" ht="15" hidden="false" customHeight="false" outlineLevel="0" collapsed="false">
      <c r="A228" s="102" t="s">
        <v>1425</v>
      </c>
      <c r="B228" s="102" t="s">
        <v>163</v>
      </c>
      <c r="C228" s="177" t="s">
        <v>164</v>
      </c>
      <c r="D228" s="102" t="s">
        <v>11</v>
      </c>
      <c r="E228" s="177" t="s">
        <v>15</v>
      </c>
      <c r="F228" s="177" t="s">
        <v>1187</v>
      </c>
      <c r="G228" s="177" t="s">
        <v>1188</v>
      </c>
      <c r="H228" s="190" t="n">
        <v>1</v>
      </c>
      <c r="I228" s="102" t="s">
        <v>601</v>
      </c>
    </row>
    <row r="229" customFormat="false" ht="15" hidden="false" customHeight="false" outlineLevel="0" collapsed="false">
      <c r="A229" s="106" t="s">
        <v>1426</v>
      </c>
      <c r="B229" s="106" t="s">
        <v>163</v>
      </c>
      <c r="C229" s="179" t="s">
        <v>164</v>
      </c>
      <c r="D229" s="106" t="s">
        <v>11</v>
      </c>
      <c r="E229" s="179" t="s">
        <v>15</v>
      </c>
      <c r="F229" s="179" t="s">
        <v>1199</v>
      </c>
      <c r="G229" s="179" t="s">
        <v>1188</v>
      </c>
      <c r="H229" s="191" t="n">
        <v>1</v>
      </c>
      <c r="I229" s="106" t="s">
        <v>601</v>
      </c>
    </row>
    <row r="230" customFormat="false" ht="15" hidden="false" customHeight="false" outlineLevel="0" collapsed="false">
      <c r="A230" s="102" t="s">
        <v>1427</v>
      </c>
      <c r="B230" s="102" t="s">
        <v>163</v>
      </c>
      <c r="C230" s="177" t="s">
        <v>164</v>
      </c>
      <c r="D230" s="102" t="s">
        <v>11</v>
      </c>
      <c r="E230" s="177" t="s">
        <v>15</v>
      </c>
      <c r="F230" s="177" t="s">
        <v>1208</v>
      </c>
      <c r="G230" s="177" t="s">
        <v>1209</v>
      </c>
      <c r="H230" s="190" t="n">
        <v>1</v>
      </c>
      <c r="I230" s="102" t="s">
        <v>601</v>
      </c>
    </row>
    <row r="231" customFormat="false" ht="15" hidden="false" customHeight="false" outlineLevel="0" collapsed="false">
      <c r="A231" s="106" t="s">
        <v>1428</v>
      </c>
      <c r="B231" s="106" t="s">
        <v>163</v>
      </c>
      <c r="C231" s="179" t="s">
        <v>164</v>
      </c>
      <c r="D231" s="106" t="s">
        <v>11</v>
      </c>
      <c r="E231" s="179" t="s">
        <v>15</v>
      </c>
      <c r="F231" s="179" t="s">
        <v>1192</v>
      </c>
      <c r="G231" s="179" t="s">
        <v>1193</v>
      </c>
      <c r="H231" s="191" t="n">
        <v>1</v>
      </c>
      <c r="I231" s="106" t="s">
        <v>601</v>
      </c>
    </row>
    <row r="232" customFormat="false" ht="15" hidden="false" customHeight="false" outlineLevel="0" collapsed="false">
      <c r="A232" s="102" t="s">
        <v>1429</v>
      </c>
      <c r="B232" s="102" t="s">
        <v>163</v>
      </c>
      <c r="C232" s="177" t="s">
        <v>164</v>
      </c>
      <c r="D232" s="102" t="s">
        <v>11</v>
      </c>
      <c r="E232" s="177" t="s">
        <v>15</v>
      </c>
      <c r="F232" s="177" t="s">
        <v>1204</v>
      </c>
      <c r="G232" s="177" t="s">
        <v>1205</v>
      </c>
      <c r="H232" s="190" t="n">
        <v>0.75</v>
      </c>
      <c r="I232" s="102" t="s">
        <v>1217</v>
      </c>
    </row>
    <row r="233" customFormat="false" ht="15" hidden="false" customHeight="false" outlineLevel="0" collapsed="false">
      <c r="A233" s="106" t="s">
        <v>1430</v>
      </c>
      <c r="B233" s="106" t="s">
        <v>163</v>
      </c>
      <c r="C233" s="179" t="s">
        <v>164</v>
      </c>
      <c r="D233" s="106" t="s">
        <v>11</v>
      </c>
      <c r="E233" s="179" t="s">
        <v>15</v>
      </c>
      <c r="F233" s="179" t="s">
        <v>1182</v>
      </c>
      <c r="G233" s="179" t="s">
        <v>1183</v>
      </c>
      <c r="H233" s="191" t="n">
        <v>1</v>
      </c>
      <c r="I233" s="106" t="s">
        <v>601</v>
      </c>
    </row>
    <row r="234" customFormat="false" ht="15" hidden="false" customHeight="false" outlineLevel="0" collapsed="false">
      <c r="A234" s="102" t="s">
        <v>1431</v>
      </c>
      <c r="B234" s="102" t="s">
        <v>68</v>
      </c>
      <c r="C234" s="177" t="s">
        <v>69</v>
      </c>
      <c r="D234" s="102" t="s">
        <v>11</v>
      </c>
      <c r="E234" s="177" t="s">
        <v>15</v>
      </c>
      <c r="F234" s="177" t="s">
        <v>1187</v>
      </c>
      <c r="G234" s="177" t="s">
        <v>1188</v>
      </c>
      <c r="H234" s="190" t="n">
        <v>0.5</v>
      </c>
      <c r="I234" s="102" t="s">
        <v>1217</v>
      </c>
    </row>
    <row r="235" customFormat="false" ht="15" hidden="false" customHeight="false" outlineLevel="0" collapsed="false">
      <c r="A235" s="106" t="s">
        <v>1432</v>
      </c>
      <c r="B235" s="106" t="s">
        <v>68</v>
      </c>
      <c r="C235" s="179" t="s">
        <v>69</v>
      </c>
      <c r="D235" s="106" t="s">
        <v>11</v>
      </c>
      <c r="E235" s="179" t="s">
        <v>15</v>
      </c>
      <c r="F235" s="179" t="s">
        <v>1199</v>
      </c>
      <c r="G235" s="179" t="s">
        <v>1188</v>
      </c>
      <c r="H235" s="191" t="n">
        <v>1</v>
      </c>
      <c r="I235" s="106" t="s">
        <v>601</v>
      </c>
    </row>
    <row r="236" customFormat="false" ht="15" hidden="false" customHeight="false" outlineLevel="0" collapsed="false">
      <c r="A236" s="102" t="s">
        <v>1433</v>
      </c>
      <c r="B236" s="102" t="s">
        <v>68</v>
      </c>
      <c r="C236" s="177" t="s">
        <v>69</v>
      </c>
      <c r="D236" s="102" t="s">
        <v>11</v>
      </c>
      <c r="E236" s="177" t="s">
        <v>15</v>
      </c>
      <c r="F236" s="177" t="s">
        <v>1208</v>
      </c>
      <c r="G236" s="177" t="s">
        <v>1209</v>
      </c>
      <c r="H236" s="190" t="n">
        <v>1</v>
      </c>
      <c r="I236" s="102" t="s">
        <v>601</v>
      </c>
    </row>
    <row r="237" customFormat="false" ht="15" hidden="false" customHeight="false" outlineLevel="0" collapsed="false">
      <c r="A237" s="106" t="s">
        <v>1434</v>
      </c>
      <c r="B237" s="106" t="s">
        <v>68</v>
      </c>
      <c r="C237" s="179" t="s">
        <v>69</v>
      </c>
      <c r="D237" s="106" t="s">
        <v>11</v>
      </c>
      <c r="E237" s="179" t="s">
        <v>15</v>
      </c>
      <c r="F237" s="179" t="s">
        <v>1201</v>
      </c>
      <c r="G237" s="179" t="s">
        <v>20</v>
      </c>
      <c r="H237" s="191" t="n">
        <v>0.75</v>
      </c>
      <c r="I237" s="106" t="s">
        <v>1217</v>
      </c>
    </row>
    <row r="238" customFormat="false" ht="15" hidden="false" customHeight="false" outlineLevel="0" collapsed="false">
      <c r="A238" s="102" t="s">
        <v>1435</v>
      </c>
      <c r="B238" s="102" t="s">
        <v>68</v>
      </c>
      <c r="C238" s="177" t="s">
        <v>69</v>
      </c>
      <c r="D238" s="102" t="s">
        <v>11</v>
      </c>
      <c r="E238" s="177" t="s">
        <v>15</v>
      </c>
      <c r="F238" s="177" t="s">
        <v>1204</v>
      </c>
      <c r="G238" s="177" t="s">
        <v>1205</v>
      </c>
      <c r="H238" s="190" t="n">
        <v>1</v>
      </c>
      <c r="I238" s="102" t="s">
        <v>601</v>
      </c>
    </row>
    <row r="239" customFormat="false" ht="15" hidden="false" customHeight="false" outlineLevel="0" collapsed="false">
      <c r="A239" s="106" t="s">
        <v>1436</v>
      </c>
      <c r="B239" s="106" t="s">
        <v>80</v>
      </c>
      <c r="C239" s="179" t="s">
        <v>81</v>
      </c>
      <c r="D239" s="106" t="s">
        <v>11</v>
      </c>
      <c r="E239" s="179" t="s">
        <v>15</v>
      </c>
      <c r="F239" s="179" t="s">
        <v>1187</v>
      </c>
      <c r="G239" s="179" t="s">
        <v>1188</v>
      </c>
      <c r="H239" s="191" t="n">
        <v>0.75</v>
      </c>
      <c r="I239" s="106" t="s">
        <v>1217</v>
      </c>
    </row>
    <row r="240" customFormat="false" ht="15" hidden="false" customHeight="false" outlineLevel="0" collapsed="false">
      <c r="A240" s="102" t="s">
        <v>1437</v>
      </c>
      <c r="B240" s="102" t="s">
        <v>80</v>
      </c>
      <c r="C240" s="177" t="s">
        <v>81</v>
      </c>
      <c r="D240" s="102" t="s">
        <v>11</v>
      </c>
      <c r="E240" s="177" t="s">
        <v>15</v>
      </c>
      <c r="F240" s="177" t="s">
        <v>1199</v>
      </c>
      <c r="G240" s="177" t="s">
        <v>1188</v>
      </c>
      <c r="H240" s="190" t="n">
        <v>1</v>
      </c>
      <c r="I240" s="102" t="s">
        <v>601</v>
      </c>
    </row>
    <row r="241" customFormat="false" ht="15" hidden="false" customHeight="false" outlineLevel="0" collapsed="false">
      <c r="A241" s="106" t="s">
        <v>1438</v>
      </c>
      <c r="B241" s="106" t="s">
        <v>80</v>
      </c>
      <c r="C241" s="179" t="s">
        <v>81</v>
      </c>
      <c r="D241" s="106" t="s">
        <v>11</v>
      </c>
      <c r="E241" s="179" t="s">
        <v>15</v>
      </c>
      <c r="F241" s="179" t="s">
        <v>1208</v>
      </c>
      <c r="G241" s="179" t="s">
        <v>1209</v>
      </c>
      <c r="H241" s="191" t="n">
        <v>1</v>
      </c>
      <c r="I241" s="106" t="s">
        <v>601</v>
      </c>
    </row>
    <row r="242" customFormat="false" ht="15" hidden="false" customHeight="false" outlineLevel="0" collapsed="false">
      <c r="A242" s="102" t="s">
        <v>1439</v>
      </c>
      <c r="B242" s="102" t="s">
        <v>80</v>
      </c>
      <c r="C242" s="177" t="s">
        <v>81</v>
      </c>
      <c r="D242" s="102" t="s">
        <v>11</v>
      </c>
      <c r="E242" s="177" t="s">
        <v>15</v>
      </c>
      <c r="F242" s="177" t="s">
        <v>1195</v>
      </c>
      <c r="G242" s="177" t="s">
        <v>1196</v>
      </c>
      <c r="H242" s="190" t="n">
        <v>1</v>
      </c>
      <c r="I242" s="102" t="s">
        <v>601</v>
      </c>
    </row>
    <row r="243" customFormat="false" ht="15" hidden="false" customHeight="false" outlineLevel="0" collapsed="false">
      <c r="A243" s="106" t="s">
        <v>1440</v>
      </c>
      <c r="B243" s="106" t="s">
        <v>80</v>
      </c>
      <c r="C243" s="179" t="s">
        <v>81</v>
      </c>
      <c r="D243" s="106" t="s">
        <v>11</v>
      </c>
      <c r="E243" s="179" t="s">
        <v>15</v>
      </c>
      <c r="F243" s="179" t="s">
        <v>1201</v>
      </c>
      <c r="G243" s="179" t="s">
        <v>20</v>
      </c>
      <c r="H243" s="191" t="n">
        <v>1</v>
      </c>
      <c r="I243" s="106" t="s">
        <v>601</v>
      </c>
    </row>
    <row r="244" customFormat="false" ht="15" hidden="false" customHeight="false" outlineLevel="0" collapsed="false">
      <c r="A244" s="102" t="s">
        <v>1441</v>
      </c>
      <c r="B244" s="102" t="s">
        <v>80</v>
      </c>
      <c r="C244" s="177" t="s">
        <v>81</v>
      </c>
      <c r="D244" s="102" t="s">
        <v>11</v>
      </c>
      <c r="E244" s="177" t="s">
        <v>15</v>
      </c>
      <c r="F244" s="177" t="s">
        <v>1192</v>
      </c>
      <c r="G244" s="177" t="s">
        <v>1193</v>
      </c>
      <c r="H244" s="190" t="n">
        <v>0.75</v>
      </c>
      <c r="I244" s="102" t="s">
        <v>1217</v>
      </c>
    </row>
    <row r="245" customFormat="false" ht="15" hidden="false" customHeight="false" outlineLevel="0" collapsed="false">
      <c r="A245" s="106" t="s">
        <v>1442</v>
      </c>
      <c r="B245" s="106" t="s">
        <v>395</v>
      </c>
      <c r="C245" s="179" t="s">
        <v>396</v>
      </c>
      <c r="D245" s="106" t="s">
        <v>11</v>
      </c>
      <c r="E245" s="179" t="s">
        <v>16</v>
      </c>
      <c r="F245" s="179" t="s">
        <v>1187</v>
      </c>
      <c r="G245" s="179" t="s">
        <v>1188</v>
      </c>
      <c r="H245" s="191" t="n">
        <v>1</v>
      </c>
      <c r="I245" s="106" t="s">
        <v>601</v>
      </c>
    </row>
    <row r="246" customFormat="false" ht="15" hidden="false" customHeight="false" outlineLevel="0" collapsed="false">
      <c r="A246" s="102" t="s">
        <v>1443</v>
      </c>
      <c r="B246" s="102" t="s">
        <v>395</v>
      </c>
      <c r="C246" s="177" t="s">
        <v>396</v>
      </c>
      <c r="D246" s="102" t="s">
        <v>11</v>
      </c>
      <c r="E246" s="177" t="s">
        <v>16</v>
      </c>
      <c r="F246" s="177" t="s">
        <v>1199</v>
      </c>
      <c r="G246" s="177" t="s">
        <v>1188</v>
      </c>
      <c r="H246" s="190" t="n">
        <v>1</v>
      </c>
      <c r="I246" s="102" t="s">
        <v>601</v>
      </c>
    </row>
    <row r="247" customFormat="false" ht="15" hidden="false" customHeight="false" outlineLevel="0" collapsed="false">
      <c r="A247" s="106" t="s">
        <v>1444</v>
      </c>
      <c r="B247" s="106" t="s">
        <v>395</v>
      </c>
      <c r="C247" s="179" t="s">
        <v>396</v>
      </c>
      <c r="D247" s="106" t="s">
        <v>11</v>
      </c>
      <c r="E247" s="179" t="s">
        <v>16</v>
      </c>
      <c r="F247" s="179" t="s">
        <v>1208</v>
      </c>
      <c r="G247" s="179" t="s">
        <v>1209</v>
      </c>
      <c r="H247" s="191" t="n">
        <v>0.75</v>
      </c>
      <c r="I247" s="106" t="s">
        <v>1217</v>
      </c>
    </row>
    <row r="248" customFormat="false" ht="15" hidden="false" customHeight="false" outlineLevel="0" collapsed="false">
      <c r="A248" s="102" t="s">
        <v>1445</v>
      </c>
      <c r="B248" s="102" t="s">
        <v>395</v>
      </c>
      <c r="C248" s="177" t="s">
        <v>396</v>
      </c>
      <c r="D248" s="102" t="s">
        <v>11</v>
      </c>
      <c r="E248" s="177" t="s">
        <v>16</v>
      </c>
      <c r="F248" s="177" t="s">
        <v>1182</v>
      </c>
      <c r="G248" s="177" t="s">
        <v>1183</v>
      </c>
      <c r="H248" s="190" t="n">
        <v>1</v>
      </c>
      <c r="I248" s="102" t="s">
        <v>601</v>
      </c>
    </row>
    <row r="249" customFormat="false" ht="15" hidden="false" customHeight="false" outlineLevel="0" collapsed="false">
      <c r="A249" s="106" t="s">
        <v>1446</v>
      </c>
      <c r="B249" s="106" t="s">
        <v>395</v>
      </c>
      <c r="C249" s="179" t="s">
        <v>396</v>
      </c>
      <c r="D249" s="106" t="s">
        <v>11</v>
      </c>
      <c r="E249" s="179" t="s">
        <v>16</v>
      </c>
      <c r="F249" s="179" t="s">
        <v>1195</v>
      </c>
      <c r="G249" s="179" t="s">
        <v>1196</v>
      </c>
      <c r="H249" s="191" t="n">
        <v>1</v>
      </c>
      <c r="I249" s="106" t="s">
        <v>601</v>
      </c>
    </row>
    <row r="250" customFormat="false" ht="15" hidden="false" customHeight="false" outlineLevel="0" collapsed="false">
      <c r="A250" s="102" t="s">
        <v>1447</v>
      </c>
      <c r="B250" s="102" t="s">
        <v>395</v>
      </c>
      <c r="C250" s="177" t="s">
        <v>396</v>
      </c>
      <c r="D250" s="102" t="s">
        <v>11</v>
      </c>
      <c r="E250" s="177" t="s">
        <v>16</v>
      </c>
      <c r="F250" s="177" t="s">
        <v>1204</v>
      </c>
      <c r="G250" s="177" t="s">
        <v>1205</v>
      </c>
      <c r="H250" s="190" t="n">
        <v>0.25</v>
      </c>
      <c r="I250" s="102" t="s">
        <v>1222</v>
      </c>
    </row>
    <row r="251" customFormat="false" ht="15" hidden="false" customHeight="false" outlineLevel="0" collapsed="false">
      <c r="A251" s="106" t="s">
        <v>1448</v>
      </c>
      <c r="B251" s="106" t="s">
        <v>84</v>
      </c>
      <c r="C251" s="179" t="s">
        <v>85</v>
      </c>
      <c r="D251" s="106" t="s">
        <v>11</v>
      </c>
      <c r="E251" s="179" t="s">
        <v>16</v>
      </c>
      <c r="F251" s="179" t="s">
        <v>1187</v>
      </c>
      <c r="G251" s="179" t="s">
        <v>1188</v>
      </c>
      <c r="H251" s="191" t="n">
        <v>1</v>
      </c>
      <c r="I251" s="106" t="s">
        <v>601</v>
      </c>
    </row>
    <row r="252" customFormat="false" ht="15" hidden="false" customHeight="false" outlineLevel="0" collapsed="false">
      <c r="A252" s="102" t="s">
        <v>1449</v>
      </c>
      <c r="B252" s="102" t="s">
        <v>84</v>
      </c>
      <c r="C252" s="177" t="s">
        <v>85</v>
      </c>
      <c r="D252" s="102" t="s">
        <v>11</v>
      </c>
      <c r="E252" s="177" t="s">
        <v>16</v>
      </c>
      <c r="F252" s="177" t="s">
        <v>1199</v>
      </c>
      <c r="G252" s="177" t="s">
        <v>1188</v>
      </c>
      <c r="H252" s="190" t="n">
        <v>1</v>
      </c>
      <c r="I252" s="102" t="s">
        <v>601</v>
      </c>
    </row>
    <row r="253" customFormat="false" ht="15" hidden="false" customHeight="false" outlineLevel="0" collapsed="false">
      <c r="A253" s="106" t="s">
        <v>1450</v>
      </c>
      <c r="B253" s="106" t="s">
        <v>84</v>
      </c>
      <c r="C253" s="179" t="s">
        <v>85</v>
      </c>
      <c r="D253" s="106" t="s">
        <v>11</v>
      </c>
      <c r="E253" s="179" t="s">
        <v>16</v>
      </c>
      <c r="F253" s="179" t="s">
        <v>1208</v>
      </c>
      <c r="G253" s="179" t="s">
        <v>1209</v>
      </c>
      <c r="H253" s="191" t="n">
        <v>1</v>
      </c>
      <c r="I253" s="106" t="s">
        <v>601</v>
      </c>
    </row>
    <row r="254" customFormat="false" ht="15" hidden="false" customHeight="false" outlineLevel="0" collapsed="false">
      <c r="A254" s="102" t="s">
        <v>1451</v>
      </c>
      <c r="B254" s="102" t="s">
        <v>84</v>
      </c>
      <c r="C254" s="177" t="s">
        <v>85</v>
      </c>
      <c r="D254" s="102" t="s">
        <v>11</v>
      </c>
      <c r="E254" s="177" t="s">
        <v>16</v>
      </c>
      <c r="F254" s="177" t="s">
        <v>1201</v>
      </c>
      <c r="G254" s="177" t="s">
        <v>20</v>
      </c>
      <c r="H254" s="190" t="n">
        <v>1</v>
      </c>
      <c r="I254" s="102" t="s">
        <v>601</v>
      </c>
    </row>
    <row r="255" customFormat="false" ht="15" hidden="false" customHeight="false" outlineLevel="0" collapsed="false">
      <c r="A255" s="106" t="s">
        <v>1452</v>
      </c>
      <c r="B255" s="106" t="s">
        <v>84</v>
      </c>
      <c r="C255" s="179" t="s">
        <v>85</v>
      </c>
      <c r="D255" s="106" t="s">
        <v>11</v>
      </c>
      <c r="E255" s="179" t="s">
        <v>16</v>
      </c>
      <c r="F255" s="179" t="s">
        <v>1204</v>
      </c>
      <c r="G255" s="179" t="s">
        <v>1205</v>
      </c>
      <c r="H255" s="191" t="n">
        <v>0</v>
      </c>
      <c r="I255" s="106" t="s">
        <v>1222</v>
      </c>
    </row>
    <row r="256" customFormat="false" ht="15" hidden="false" customHeight="false" outlineLevel="0" collapsed="false">
      <c r="A256" s="102" t="s">
        <v>1453</v>
      </c>
      <c r="B256" s="102" t="s">
        <v>399</v>
      </c>
      <c r="C256" s="177" t="s">
        <v>400</v>
      </c>
      <c r="D256" s="102" t="s">
        <v>11</v>
      </c>
      <c r="E256" s="177" t="s">
        <v>16</v>
      </c>
      <c r="F256" s="177" t="s">
        <v>1187</v>
      </c>
      <c r="G256" s="177" t="s">
        <v>1188</v>
      </c>
      <c r="H256" s="190" t="n">
        <v>0.5</v>
      </c>
      <c r="I256" s="102" t="s">
        <v>1217</v>
      </c>
    </row>
    <row r="257" customFormat="false" ht="15" hidden="false" customHeight="false" outlineLevel="0" collapsed="false">
      <c r="A257" s="106" t="s">
        <v>1454</v>
      </c>
      <c r="B257" s="106" t="s">
        <v>399</v>
      </c>
      <c r="C257" s="179" t="s">
        <v>400</v>
      </c>
      <c r="D257" s="106" t="s">
        <v>11</v>
      </c>
      <c r="E257" s="179" t="s">
        <v>16</v>
      </c>
      <c r="F257" s="179" t="s">
        <v>1199</v>
      </c>
      <c r="G257" s="179" t="s">
        <v>1188</v>
      </c>
      <c r="H257" s="191" t="n">
        <v>1</v>
      </c>
      <c r="I257" s="106" t="s">
        <v>601</v>
      </c>
    </row>
    <row r="258" customFormat="false" ht="15" hidden="false" customHeight="false" outlineLevel="0" collapsed="false">
      <c r="A258" s="102" t="s">
        <v>1455</v>
      </c>
      <c r="B258" s="102" t="s">
        <v>399</v>
      </c>
      <c r="C258" s="177" t="s">
        <v>400</v>
      </c>
      <c r="D258" s="102" t="s">
        <v>11</v>
      </c>
      <c r="E258" s="177" t="s">
        <v>16</v>
      </c>
      <c r="F258" s="177" t="s">
        <v>1208</v>
      </c>
      <c r="G258" s="177" t="s">
        <v>1209</v>
      </c>
      <c r="H258" s="190" t="n">
        <v>1</v>
      </c>
      <c r="I258" s="102" t="s">
        <v>601</v>
      </c>
    </row>
    <row r="259" customFormat="false" ht="15" hidden="false" customHeight="false" outlineLevel="0" collapsed="false">
      <c r="A259" s="106" t="s">
        <v>1456</v>
      </c>
      <c r="B259" s="106" t="s">
        <v>399</v>
      </c>
      <c r="C259" s="179" t="s">
        <v>400</v>
      </c>
      <c r="D259" s="106" t="s">
        <v>11</v>
      </c>
      <c r="E259" s="179" t="s">
        <v>16</v>
      </c>
      <c r="F259" s="179" t="s">
        <v>1195</v>
      </c>
      <c r="G259" s="179" t="s">
        <v>1196</v>
      </c>
      <c r="H259" s="191" t="n">
        <v>1</v>
      </c>
      <c r="I259" s="106" t="s">
        <v>601</v>
      </c>
    </row>
    <row r="260" customFormat="false" ht="15" hidden="false" customHeight="false" outlineLevel="0" collapsed="false">
      <c r="A260" s="102" t="s">
        <v>1457</v>
      </c>
      <c r="B260" s="102" t="s">
        <v>399</v>
      </c>
      <c r="C260" s="177" t="s">
        <v>400</v>
      </c>
      <c r="D260" s="102" t="s">
        <v>11</v>
      </c>
      <c r="E260" s="177" t="s">
        <v>16</v>
      </c>
      <c r="F260" s="177" t="s">
        <v>1192</v>
      </c>
      <c r="G260" s="177" t="s">
        <v>1193</v>
      </c>
      <c r="H260" s="190" t="n">
        <v>0.75</v>
      </c>
      <c r="I260" s="102" t="s">
        <v>1217</v>
      </c>
    </row>
    <row r="261" customFormat="false" ht="15" hidden="false" customHeight="false" outlineLevel="0" collapsed="false">
      <c r="A261" s="106" t="s">
        <v>1458</v>
      </c>
      <c r="B261" s="106" t="s">
        <v>399</v>
      </c>
      <c r="C261" s="179" t="s">
        <v>400</v>
      </c>
      <c r="D261" s="106" t="s">
        <v>11</v>
      </c>
      <c r="E261" s="179" t="s">
        <v>16</v>
      </c>
      <c r="F261" s="179" t="s">
        <v>1201</v>
      </c>
      <c r="G261" s="179" t="s">
        <v>20</v>
      </c>
      <c r="H261" s="191" t="n">
        <v>0</v>
      </c>
      <c r="I261" s="106" t="s">
        <v>1222</v>
      </c>
    </row>
    <row r="262" customFormat="false" ht="15" hidden="false" customHeight="false" outlineLevel="0" collapsed="false">
      <c r="A262" s="102" t="s">
        <v>1459</v>
      </c>
      <c r="B262" s="102" t="s">
        <v>402</v>
      </c>
      <c r="C262" s="177" t="s">
        <v>403</v>
      </c>
      <c r="D262" s="102" t="s">
        <v>11</v>
      </c>
      <c r="E262" s="177" t="s">
        <v>16</v>
      </c>
      <c r="F262" s="177" t="s">
        <v>1187</v>
      </c>
      <c r="G262" s="177" t="s">
        <v>1188</v>
      </c>
      <c r="H262" s="190" t="n">
        <v>1</v>
      </c>
      <c r="I262" s="102" t="s">
        <v>601</v>
      </c>
    </row>
    <row r="263" customFormat="false" ht="15" hidden="false" customHeight="false" outlineLevel="0" collapsed="false">
      <c r="A263" s="106" t="s">
        <v>1460</v>
      </c>
      <c r="B263" s="106" t="s">
        <v>402</v>
      </c>
      <c r="C263" s="179" t="s">
        <v>403</v>
      </c>
      <c r="D263" s="106" t="s">
        <v>11</v>
      </c>
      <c r="E263" s="179" t="s">
        <v>16</v>
      </c>
      <c r="F263" s="179" t="s">
        <v>1199</v>
      </c>
      <c r="G263" s="179" t="s">
        <v>1188</v>
      </c>
      <c r="H263" s="191" t="n">
        <v>1</v>
      </c>
      <c r="I263" s="106" t="s">
        <v>601</v>
      </c>
    </row>
    <row r="264" customFormat="false" ht="15" hidden="false" customHeight="false" outlineLevel="0" collapsed="false">
      <c r="A264" s="102" t="s">
        <v>1461</v>
      </c>
      <c r="B264" s="102" t="s">
        <v>402</v>
      </c>
      <c r="C264" s="177" t="s">
        <v>403</v>
      </c>
      <c r="D264" s="102" t="s">
        <v>11</v>
      </c>
      <c r="E264" s="177" t="s">
        <v>16</v>
      </c>
      <c r="F264" s="177" t="s">
        <v>1208</v>
      </c>
      <c r="G264" s="177" t="s">
        <v>1209</v>
      </c>
      <c r="H264" s="190" t="n">
        <v>0.25</v>
      </c>
      <c r="I264" s="102" t="s">
        <v>1222</v>
      </c>
    </row>
    <row r="265" customFormat="false" ht="15" hidden="false" customHeight="false" outlineLevel="0" collapsed="false">
      <c r="A265" s="106" t="s">
        <v>1462</v>
      </c>
      <c r="B265" s="106" t="s">
        <v>402</v>
      </c>
      <c r="C265" s="179" t="s">
        <v>403</v>
      </c>
      <c r="D265" s="106" t="s">
        <v>11</v>
      </c>
      <c r="E265" s="179" t="s">
        <v>16</v>
      </c>
      <c r="F265" s="179" t="s">
        <v>1182</v>
      </c>
      <c r="G265" s="179" t="s">
        <v>1183</v>
      </c>
      <c r="H265" s="191" t="n">
        <v>0.25</v>
      </c>
      <c r="I265" s="106" t="s">
        <v>1222</v>
      </c>
    </row>
    <row r="266" customFormat="false" ht="15" hidden="false" customHeight="false" outlineLevel="0" collapsed="false">
      <c r="A266" s="102" t="s">
        <v>1463</v>
      </c>
      <c r="B266" s="102" t="s">
        <v>402</v>
      </c>
      <c r="C266" s="177" t="s">
        <v>403</v>
      </c>
      <c r="D266" s="102" t="s">
        <v>11</v>
      </c>
      <c r="E266" s="177" t="s">
        <v>16</v>
      </c>
      <c r="F266" s="177" t="s">
        <v>1204</v>
      </c>
      <c r="G266" s="177" t="s">
        <v>1205</v>
      </c>
      <c r="H266" s="190" t="n">
        <v>1</v>
      </c>
      <c r="I266" s="102" t="s">
        <v>601</v>
      </c>
    </row>
    <row r="267" customFormat="false" ht="15" hidden="false" customHeight="false" outlineLevel="0" collapsed="false">
      <c r="A267" s="106" t="s">
        <v>1464</v>
      </c>
      <c r="B267" s="106" t="s">
        <v>404</v>
      </c>
      <c r="C267" s="179" t="s">
        <v>405</v>
      </c>
      <c r="D267" s="106" t="s">
        <v>11</v>
      </c>
      <c r="E267" s="179" t="s">
        <v>16</v>
      </c>
      <c r="F267" s="179" t="s">
        <v>1187</v>
      </c>
      <c r="G267" s="179" t="s">
        <v>1188</v>
      </c>
      <c r="H267" s="191" t="n">
        <v>0.75</v>
      </c>
      <c r="I267" s="106" t="s">
        <v>1217</v>
      </c>
    </row>
    <row r="268" customFormat="false" ht="15" hidden="false" customHeight="false" outlineLevel="0" collapsed="false">
      <c r="A268" s="102" t="s">
        <v>1465</v>
      </c>
      <c r="B268" s="102" t="s">
        <v>404</v>
      </c>
      <c r="C268" s="177" t="s">
        <v>405</v>
      </c>
      <c r="D268" s="102" t="s">
        <v>11</v>
      </c>
      <c r="E268" s="177" t="s">
        <v>16</v>
      </c>
      <c r="F268" s="177" t="s">
        <v>1199</v>
      </c>
      <c r="G268" s="177" t="s">
        <v>1188</v>
      </c>
      <c r="H268" s="190" t="n">
        <v>1</v>
      </c>
      <c r="I268" s="102" t="s">
        <v>601</v>
      </c>
    </row>
    <row r="269" customFormat="false" ht="15" hidden="false" customHeight="false" outlineLevel="0" collapsed="false">
      <c r="A269" s="106" t="s">
        <v>1466</v>
      </c>
      <c r="B269" s="106" t="s">
        <v>404</v>
      </c>
      <c r="C269" s="179" t="s">
        <v>405</v>
      </c>
      <c r="D269" s="106" t="s">
        <v>11</v>
      </c>
      <c r="E269" s="179" t="s">
        <v>16</v>
      </c>
      <c r="F269" s="179" t="s">
        <v>1208</v>
      </c>
      <c r="G269" s="179" t="s">
        <v>1209</v>
      </c>
      <c r="H269" s="191" t="n">
        <v>1</v>
      </c>
      <c r="I269" s="106" t="s">
        <v>601</v>
      </c>
    </row>
    <row r="270" customFormat="false" ht="15" hidden="false" customHeight="false" outlineLevel="0" collapsed="false">
      <c r="A270" s="102" t="s">
        <v>1467</v>
      </c>
      <c r="B270" s="102" t="s">
        <v>404</v>
      </c>
      <c r="C270" s="177" t="s">
        <v>405</v>
      </c>
      <c r="D270" s="102" t="s">
        <v>11</v>
      </c>
      <c r="E270" s="177" t="s">
        <v>16</v>
      </c>
      <c r="F270" s="177" t="s">
        <v>1204</v>
      </c>
      <c r="G270" s="177" t="s">
        <v>1205</v>
      </c>
      <c r="H270" s="190" t="n">
        <v>1</v>
      </c>
      <c r="I270" s="102" t="s">
        <v>601</v>
      </c>
    </row>
    <row r="271" customFormat="false" ht="15" hidden="false" customHeight="false" outlineLevel="0" collapsed="false">
      <c r="A271" s="106" t="s">
        <v>1468</v>
      </c>
      <c r="B271" s="106" t="s">
        <v>404</v>
      </c>
      <c r="C271" s="179" t="s">
        <v>405</v>
      </c>
      <c r="D271" s="106" t="s">
        <v>11</v>
      </c>
      <c r="E271" s="179" t="s">
        <v>16</v>
      </c>
      <c r="F271" s="179" t="s">
        <v>1201</v>
      </c>
      <c r="G271" s="179" t="s">
        <v>20</v>
      </c>
      <c r="H271" s="191" t="n">
        <v>1</v>
      </c>
      <c r="I271" s="106" t="s">
        <v>601</v>
      </c>
    </row>
    <row r="272" customFormat="false" ht="15" hidden="false" customHeight="false" outlineLevel="0" collapsed="false">
      <c r="A272" s="102" t="s">
        <v>1469</v>
      </c>
      <c r="B272" s="102" t="s">
        <v>404</v>
      </c>
      <c r="C272" s="177" t="s">
        <v>405</v>
      </c>
      <c r="D272" s="102" t="s">
        <v>11</v>
      </c>
      <c r="E272" s="177" t="s">
        <v>16</v>
      </c>
      <c r="F272" s="177" t="s">
        <v>1192</v>
      </c>
      <c r="G272" s="177" t="s">
        <v>1193</v>
      </c>
      <c r="H272" s="190" t="n">
        <v>1</v>
      </c>
      <c r="I272" s="102" t="s">
        <v>601</v>
      </c>
    </row>
    <row r="273" customFormat="false" ht="15" hidden="false" customHeight="false" outlineLevel="0" collapsed="false">
      <c r="A273" s="106" t="s">
        <v>1470</v>
      </c>
      <c r="B273" s="106" t="s">
        <v>72</v>
      </c>
      <c r="C273" s="179" t="s">
        <v>73</v>
      </c>
      <c r="D273" s="106" t="s">
        <v>11</v>
      </c>
      <c r="E273" s="179" t="s">
        <v>16</v>
      </c>
      <c r="F273" s="179" t="s">
        <v>1187</v>
      </c>
      <c r="G273" s="179" t="s">
        <v>1188</v>
      </c>
      <c r="H273" s="191" t="n">
        <v>1</v>
      </c>
      <c r="I273" s="106" t="s">
        <v>601</v>
      </c>
    </row>
    <row r="274" customFormat="false" ht="15" hidden="false" customHeight="false" outlineLevel="0" collapsed="false">
      <c r="A274" s="102" t="s">
        <v>1471</v>
      </c>
      <c r="B274" s="102" t="s">
        <v>72</v>
      </c>
      <c r="C274" s="177" t="s">
        <v>73</v>
      </c>
      <c r="D274" s="102" t="s">
        <v>11</v>
      </c>
      <c r="E274" s="177" t="s">
        <v>16</v>
      </c>
      <c r="F274" s="177" t="s">
        <v>1199</v>
      </c>
      <c r="G274" s="177" t="s">
        <v>1188</v>
      </c>
      <c r="H274" s="190" t="n">
        <v>1</v>
      </c>
      <c r="I274" s="102" t="s">
        <v>601</v>
      </c>
    </row>
    <row r="275" customFormat="false" ht="15" hidden="false" customHeight="false" outlineLevel="0" collapsed="false">
      <c r="A275" s="106" t="s">
        <v>1472</v>
      </c>
      <c r="B275" s="106" t="s">
        <v>72</v>
      </c>
      <c r="C275" s="179" t="s">
        <v>73</v>
      </c>
      <c r="D275" s="106" t="s">
        <v>11</v>
      </c>
      <c r="E275" s="179" t="s">
        <v>16</v>
      </c>
      <c r="F275" s="179" t="s">
        <v>1208</v>
      </c>
      <c r="G275" s="179" t="s">
        <v>1209</v>
      </c>
      <c r="H275" s="191" t="n">
        <v>0.5</v>
      </c>
      <c r="I275" s="106" t="s">
        <v>1217</v>
      </c>
    </row>
    <row r="276" customFormat="false" ht="15" hidden="false" customHeight="false" outlineLevel="0" collapsed="false">
      <c r="A276" s="102" t="s">
        <v>1473</v>
      </c>
      <c r="B276" s="102" t="s">
        <v>72</v>
      </c>
      <c r="C276" s="177" t="s">
        <v>73</v>
      </c>
      <c r="D276" s="102" t="s">
        <v>11</v>
      </c>
      <c r="E276" s="177" t="s">
        <v>16</v>
      </c>
      <c r="F276" s="177" t="s">
        <v>1192</v>
      </c>
      <c r="G276" s="177" t="s">
        <v>1193</v>
      </c>
      <c r="H276" s="190" t="n">
        <v>1</v>
      </c>
      <c r="I276" s="102" t="s">
        <v>601</v>
      </c>
    </row>
    <row r="277" customFormat="false" ht="15" hidden="false" customHeight="false" outlineLevel="0" collapsed="false">
      <c r="A277" s="106" t="s">
        <v>1474</v>
      </c>
      <c r="B277" s="106" t="s">
        <v>72</v>
      </c>
      <c r="C277" s="179" t="s">
        <v>73</v>
      </c>
      <c r="D277" s="106" t="s">
        <v>11</v>
      </c>
      <c r="E277" s="179" t="s">
        <v>16</v>
      </c>
      <c r="F277" s="179" t="s">
        <v>1204</v>
      </c>
      <c r="G277" s="179" t="s">
        <v>1205</v>
      </c>
      <c r="H277" s="191" t="n">
        <v>1</v>
      </c>
      <c r="I277" s="106" t="s">
        <v>601</v>
      </c>
    </row>
    <row r="278" customFormat="false" ht="15" hidden="false" customHeight="false" outlineLevel="0" collapsed="false">
      <c r="A278" s="102" t="s">
        <v>1475</v>
      </c>
      <c r="B278" s="102" t="s">
        <v>72</v>
      </c>
      <c r="C278" s="177" t="s">
        <v>73</v>
      </c>
      <c r="D278" s="102" t="s">
        <v>11</v>
      </c>
      <c r="E278" s="177" t="s">
        <v>16</v>
      </c>
      <c r="F278" s="177" t="s">
        <v>1195</v>
      </c>
      <c r="G278" s="177" t="s">
        <v>1196</v>
      </c>
      <c r="H278" s="190" t="n">
        <v>1</v>
      </c>
      <c r="I278" s="102" t="s">
        <v>601</v>
      </c>
    </row>
    <row r="279" customFormat="false" ht="15" hidden="false" customHeight="false" outlineLevel="0" collapsed="false">
      <c r="A279" s="106" t="s">
        <v>1476</v>
      </c>
      <c r="B279" s="106" t="s">
        <v>72</v>
      </c>
      <c r="C279" s="179" t="s">
        <v>73</v>
      </c>
      <c r="D279" s="106" t="s">
        <v>11</v>
      </c>
      <c r="E279" s="179" t="s">
        <v>16</v>
      </c>
      <c r="F279" s="179" t="s">
        <v>1201</v>
      </c>
      <c r="G279" s="179" t="s">
        <v>20</v>
      </c>
      <c r="H279" s="191" t="n">
        <v>0.75</v>
      </c>
      <c r="I279" s="106" t="s">
        <v>1217</v>
      </c>
    </row>
    <row r="280" customFormat="false" ht="15" hidden="false" customHeight="false" outlineLevel="0" collapsed="false">
      <c r="A280" s="102" t="s">
        <v>1477</v>
      </c>
      <c r="B280" s="102" t="s">
        <v>408</v>
      </c>
      <c r="C280" s="177" t="s">
        <v>409</v>
      </c>
      <c r="D280" s="102" t="s">
        <v>11</v>
      </c>
      <c r="E280" s="177" t="s">
        <v>16</v>
      </c>
      <c r="F280" s="177" t="s">
        <v>1187</v>
      </c>
      <c r="G280" s="177" t="s">
        <v>1188</v>
      </c>
      <c r="H280" s="190" t="n">
        <v>1</v>
      </c>
      <c r="I280" s="102" t="s">
        <v>601</v>
      </c>
    </row>
    <row r="281" customFormat="false" ht="15" hidden="false" customHeight="false" outlineLevel="0" collapsed="false">
      <c r="A281" s="106" t="s">
        <v>1478</v>
      </c>
      <c r="B281" s="106" t="s">
        <v>408</v>
      </c>
      <c r="C281" s="179" t="s">
        <v>409</v>
      </c>
      <c r="D281" s="106" t="s">
        <v>11</v>
      </c>
      <c r="E281" s="179" t="s">
        <v>16</v>
      </c>
      <c r="F281" s="179" t="s">
        <v>1199</v>
      </c>
      <c r="G281" s="179" t="s">
        <v>1188</v>
      </c>
      <c r="H281" s="191" t="n">
        <v>1</v>
      </c>
      <c r="I281" s="106" t="s">
        <v>601</v>
      </c>
    </row>
    <row r="282" customFormat="false" ht="15" hidden="false" customHeight="false" outlineLevel="0" collapsed="false">
      <c r="A282" s="102" t="s">
        <v>1479</v>
      </c>
      <c r="B282" s="102" t="s">
        <v>408</v>
      </c>
      <c r="C282" s="177" t="s">
        <v>409</v>
      </c>
      <c r="D282" s="102" t="s">
        <v>11</v>
      </c>
      <c r="E282" s="177" t="s">
        <v>16</v>
      </c>
      <c r="F282" s="177" t="s">
        <v>1208</v>
      </c>
      <c r="G282" s="177" t="s">
        <v>1209</v>
      </c>
      <c r="H282" s="190" t="n">
        <v>1</v>
      </c>
      <c r="I282" s="102" t="s">
        <v>601</v>
      </c>
    </row>
    <row r="283" customFormat="false" ht="15" hidden="false" customHeight="false" outlineLevel="0" collapsed="false">
      <c r="A283" s="106" t="s">
        <v>1480</v>
      </c>
      <c r="B283" s="106" t="s">
        <v>408</v>
      </c>
      <c r="C283" s="179" t="s">
        <v>409</v>
      </c>
      <c r="D283" s="106" t="s">
        <v>11</v>
      </c>
      <c r="E283" s="179" t="s">
        <v>16</v>
      </c>
      <c r="F283" s="179" t="s">
        <v>1182</v>
      </c>
      <c r="G283" s="179" t="s">
        <v>1183</v>
      </c>
      <c r="H283" s="191" t="n">
        <v>1</v>
      </c>
      <c r="I283" s="106" t="s">
        <v>601</v>
      </c>
    </row>
    <row r="284" customFormat="false" ht="15" hidden="false" customHeight="false" outlineLevel="0" collapsed="false">
      <c r="A284" s="102" t="s">
        <v>1481</v>
      </c>
      <c r="B284" s="102" t="s">
        <v>408</v>
      </c>
      <c r="C284" s="177" t="s">
        <v>409</v>
      </c>
      <c r="D284" s="102" t="s">
        <v>11</v>
      </c>
      <c r="E284" s="177" t="s">
        <v>16</v>
      </c>
      <c r="F284" s="177" t="s">
        <v>1192</v>
      </c>
      <c r="G284" s="177" t="s">
        <v>1193</v>
      </c>
      <c r="H284" s="190" t="n">
        <v>1</v>
      </c>
      <c r="I284" s="102" t="s">
        <v>601</v>
      </c>
    </row>
    <row r="285" customFormat="false" ht="15" hidden="false" customHeight="false" outlineLevel="0" collapsed="false">
      <c r="A285" s="106" t="s">
        <v>1482</v>
      </c>
      <c r="B285" s="106" t="s">
        <v>74</v>
      </c>
      <c r="C285" s="179" t="s">
        <v>75</v>
      </c>
      <c r="D285" s="106" t="s">
        <v>11</v>
      </c>
      <c r="E285" s="179" t="s">
        <v>20</v>
      </c>
      <c r="F285" s="179" t="s">
        <v>1187</v>
      </c>
      <c r="G285" s="179" t="s">
        <v>1188</v>
      </c>
      <c r="H285" s="191" t="n">
        <v>0.75</v>
      </c>
      <c r="I285" s="106" t="s">
        <v>1217</v>
      </c>
    </row>
    <row r="286" customFormat="false" ht="15" hidden="false" customHeight="false" outlineLevel="0" collapsed="false">
      <c r="A286" s="102" t="s">
        <v>1483</v>
      </c>
      <c r="B286" s="102" t="s">
        <v>74</v>
      </c>
      <c r="C286" s="177" t="s">
        <v>75</v>
      </c>
      <c r="D286" s="102" t="s">
        <v>11</v>
      </c>
      <c r="E286" s="177" t="s">
        <v>20</v>
      </c>
      <c r="F286" s="177" t="s">
        <v>1199</v>
      </c>
      <c r="G286" s="177" t="s">
        <v>1188</v>
      </c>
      <c r="H286" s="190" t="n">
        <v>1</v>
      </c>
      <c r="I286" s="102" t="s">
        <v>601</v>
      </c>
    </row>
    <row r="287" customFormat="false" ht="15" hidden="false" customHeight="false" outlineLevel="0" collapsed="false">
      <c r="A287" s="106" t="s">
        <v>1484</v>
      </c>
      <c r="B287" s="106" t="s">
        <v>74</v>
      </c>
      <c r="C287" s="179" t="s">
        <v>75</v>
      </c>
      <c r="D287" s="106" t="s">
        <v>11</v>
      </c>
      <c r="E287" s="179" t="s">
        <v>20</v>
      </c>
      <c r="F287" s="179" t="s">
        <v>1208</v>
      </c>
      <c r="G287" s="179" t="s">
        <v>1209</v>
      </c>
      <c r="H287" s="191" t="n">
        <v>0</v>
      </c>
      <c r="I287" s="106" t="s">
        <v>1222</v>
      </c>
    </row>
    <row r="288" customFormat="false" ht="15" hidden="false" customHeight="false" outlineLevel="0" collapsed="false">
      <c r="A288" s="102" t="s">
        <v>1485</v>
      </c>
      <c r="B288" s="102" t="s">
        <v>74</v>
      </c>
      <c r="C288" s="177" t="s">
        <v>75</v>
      </c>
      <c r="D288" s="102" t="s">
        <v>11</v>
      </c>
      <c r="E288" s="177" t="s">
        <v>20</v>
      </c>
      <c r="F288" s="177" t="s">
        <v>1192</v>
      </c>
      <c r="G288" s="177" t="s">
        <v>1193</v>
      </c>
      <c r="H288" s="190" t="n">
        <v>1</v>
      </c>
      <c r="I288" s="102" t="s">
        <v>601</v>
      </c>
    </row>
    <row r="289" customFormat="false" ht="15" hidden="false" customHeight="false" outlineLevel="0" collapsed="false">
      <c r="A289" s="106" t="s">
        <v>1486</v>
      </c>
      <c r="B289" s="106" t="s">
        <v>74</v>
      </c>
      <c r="C289" s="179" t="s">
        <v>75</v>
      </c>
      <c r="D289" s="106" t="s">
        <v>11</v>
      </c>
      <c r="E289" s="179" t="s">
        <v>20</v>
      </c>
      <c r="F289" s="179" t="s">
        <v>1182</v>
      </c>
      <c r="G289" s="179" t="s">
        <v>1183</v>
      </c>
      <c r="H289" s="191" t="n">
        <v>0.75</v>
      </c>
      <c r="I289" s="106" t="s">
        <v>1217</v>
      </c>
    </row>
    <row r="290" customFormat="false" ht="15" hidden="false" customHeight="false" outlineLevel="0" collapsed="false">
      <c r="A290" s="102" t="s">
        <v>1487</v>
      </c>
      <c r="B290" s="102" t="s">
        <v>74</v>
      </c>
      <c r="C290" s="177" t="s">
        <v>75</v>
      </c>
      <c r="D290" s="102" t="s">
        <v>11</v>
      </c>
      <c r="E290" s="177" t="s">
        <v>20</v>
      </c>
      <c r="F290" s="177" t="s">
        <v>1201</v>
      </c>
      <c r="G290" s="177" t="s">
        <v>20</v>
      </c>
      <c r="H290" s="190" t="n">
        <v>0.75</v>
      </c>
      <c r="I290" s="102" t="s">
        <v>1217</v>
      </c>
    </row>
    <row r="291" customFormat="false" ht="15" hidden="false" customHeight="false" outlineLevel="0" collapsed="false">
      <c r="A291" s="106" t="s">
        <v>1488</v>
      </c>
      <c r="B291" s="106" t="s">
        <v>74</v>
      </c>
      <c r="C291" s="179" t="s">
        <v>75</v>
      </c>
      <c r="D291" s="106" t="s">
        <v>11</v>
      </c>
      <c r="E291" s="179" t="s">
        <v>20</v>
      </c>
      <c r="F291" s="179" t="s">
        <v>1195</v>
      </c>
      <c r="G291" s="179" t="s">
        <v>1196</v>
      </c>
      <c r="H291" s="191" t="n">
        <v>1</v>
      </c>
      <c r="I291" s="106" t="s">
        <v>601</v>
      </c>
    </row>
    <row r="292" customFormat="false" ht="15" hidden="false" customHeight="false" outlineLevel="0" collapsed="false">
      <c r="A292" s="102" t="s">
        <v>1489</v>
      </c>
      <c r="B292" s="102" t="s">
        <v>62</v>
      </c>
      <c r="C292" s="177" t="s">
        <v>63</v>
      </c>
      <c r="D292" s="102" t="s">
        <v>11</v>
      </c>
      <c r="E292" s="177" t="s">
        <v>20</v>
      </c>
      <c r="F292" s="177" t="s">
        <v>1187</v>
      </c>
      <c r="G292" s="177" t="s">
        <v>1188</v>
      </c>
      <c r="H292" s="190" t="n">
        <v>0.75</v>
      </c>
      <c r="I292" s="102" t="s">
        <v>1217</v>
      </c>
    </row>
    <row r="293" customFormat="false" ht="15" hidden="false" customHeight="false" outlineLevel="0" collapsed="false">
      <c r="A293" s="106" t="s">
        <v>1490</v>
      </c>
      <c r="B293" s="106" t="s">
        <v>62</v>
      </c>
      <c r="C293" s="179" t="s">
        <v>63</v>
      </c>
      <c r="D293" s="106" t="s">
        <v>11</v>
      </c>
      <c r="E293" s="179" t="s">
        <v>20</v>
      </c>
      <c r="F293" s="179" t="s">
        <v>1199</v>
      </c>
      <c r="G293" s="179" t="s">
        <v>1188</v>
      </c>
      <c r="H293" s="191" t="n">
        <v>1</v>
      </c>
      <c r="I293" s="106" t="s">
        <v>601</v>
      </c>
    </row>
    <row r="294" customFormat="false" ht="15" hidden="false" customHeight="false" outlineLevel="0" collapsed="false">
      <c r="A294" s="102" t="s">
        <v>1491</v>
      </c>
      <c r="B294" s="102" t="s">
        <v>62</v>
      </c>
      <c r="C294" s="177" t="s">
        <v>63</v>
      </c>
      <c r="D294" s="102" t="s">
        <v>11</v>
      </c>
      <c r="E294" s="177" t="s">
        <v>20</v>
      </c>
      <c r="F294" s="177" t="s">
        <v>1208</v>
      </c>
      <c r="G294" s="177" t="s">
        <v>1209</v>
      </c>
      <c r="H294" s="190" t="n">
        <v>0.5</v>
      </c>
      <c r="I294" s="102" t="s">
        <v>1217</v>
      </c>
    </row>
    <row r="295" customFormat="false" ht="15" hidden="false" customHeight="false" outlineLevel="0" collapsed="false">
      <c r="A295" s="106" t="s">
        <v>1492</v>
      </c>
      <c r="B295" s="106" t="s">
        <v>62</v>
      </c>
      <c r="C295" s="179" t="s">
        <v>63</v>
      </c>
      <c r="D295" s="106" t="s">
        <v>11</v>
      </c>
      <c r="E295" s="179" t="s">
        <v>20</v>
      </c>
      <c r="F295" s="179" t="s">
        <v>1195</v>
      </c>
      <c r="G295" s="179" t="s">
        <v>1196</v>
      </c>
      <c r="H295" s="191" t="n">
        <v>1</v>
      </c>
      <c r="I295" s="106" t="s">
        <v>601</v>
      </c>
    </row>
    <row r="296" customFormat="false" ht="15" hidden="false" customHeight="false" outlineLevel="0" collapsed="false">
      <c r="A296" s="102" t="s">
        <v>1493</v>
      </c>
      <c r="B296" s="102" t="s">
        <v>62</v>
      </c>
      <c r="C296" s="177" t="s">
        <v>63</v>
      </c>
      <c r="D296" s="102" t="s">
        <v>11</v>
      </c>
      <c r="E296" s="177" t="s">
        <v>20</v>
      </c>
      <c r="F296" s="177" t="s">
        <v>1182</v>
      </c>
      <c r="G296" s="177" t="s">
        <v>1183</v>
      </c>
      <c r="H296" s="190" t="n">
        <v>1</v>
      </c>
      <c r="I296" s="102" t="s">
        <v>601</v>
      </c>
    </row>
    <row r="297" customFormat="false" ht="15" hidden="false" customHeight="false" outlineLevel="0" collapsed="false">
      <c r="A297" s="106" t="s">
        <v>1494</v>
      </c>
      <c r="B297" s="106" t="s">
        <v>411</v>
      </c>
      <c r="C297" s="179" t="s">
        <v>412</v>
      </c>
      <c r="D297" s="106" t="s">
        <v>11</v>
      </c>
      <c r="E297" s="179" t="s">
        <v>20</v>
      </c>
      <c r="F297" s="179" t="s">
        <v>1187</v>
      </c>
      <c r="G297" s="179" t="s">
        <v>1188</v>
      </c>
      <c r="H297" s="191" t="n">
        <v>1</v>
      </c>
      <c r="I297" s="106" t="s">
        <v>601</v>
      </c>
    </row>
    <row r="298" customFormat="false" ht="15" hidden="false" customHeight="false" outlineLevel="0" collapsed="false">
      <c r="A298" s="102" t="s">
        <v>1495</v>
      </c>
      <c r="B298" s="102" t="s">
        <v>411</v>
      </c>
      <c r="C298" s="177" t="s">
        <v>412</v>
      </c>
      <c r="D298" s="102" t="s">
        <v>11</v>
      </c>
      <c r="E298" s="177" t="s">
        <v>20</v>
      </c>
      <c r="F298" s="177" t="s">
        <v>1199</v>
      </c>
      <c r="G298" s="177" t="s">
        <v>1188</v>
      </c>
      <c r="H298" s="190" t="n">
        <v>1</v>
      </c>
      <c r="I298" s="102" t="s">
        <v>601</v>
      </c>
    </row>
    <row r="299" customFormat="false" ht="15" hidden="false" customHeight="false" outlineLevel="0" collapsed="false">
      <c r="A299" s="106" t="s">
        <v>1496</v>
      </c>
      <c r="B299" s="106" t="s">
        <v>411</v>
      </c>
      <c r="C299" s="179" t="s">
        <v>412</v>
      </c>
      <c r="D299" s="106" t="s">
        <v>11</v>
      </c>
      <c r="E299" s="179" t="s">
        <v>20</v>
      </c>
      <c r="F299" s="179" t="s">
        <v>1208</v>
      </c>
      <c r="G299" s="179" t="s">
        <v>1209</v>
      </c>
      <c r="H299" s="191" t="n">
        <v>0.5</v>
      </c>
      <c r="I299" s="106" t="s">
        <v>1217</v>
      </c>
    </row>
    <row r="300" customFormat="false" ht="15" hidden="false" customHeight="false" outlineLevel="0" collapsed="false">
      <c r="A300" s="102" t="s">
        <v>1497</v>
      </c>
      <c r="B300" s="102" t="s">
        <v>411</v>
      </c>
      <c r="C300" s="177" t="s">
        <v>412</v>
      </c>
      <c r="D300" s="102" t="s">
        <v>11</v>
      </c>
      <c r="E300" s="177" t="s">
        <v>20</v>
      </c>
      <c r="F300" s="177" t="s">
        <v>1204</v>
      </c>
      <c r="G300" s="177" t="s">
        <v>1205</v>
      </c>
      <c r="H300" s="190" t="n">
        <v>1</v>
      </c>
      <c r="I300" s="102" t="s">
        <v>601</v>
      </c>
    </row>
    <row r="301" customFormat="false" ht="15" hidden="false" customHeight="false" outlineLevel="0" collapsed="false">
      <c r="A301" s="106" t="s">
        <v>1498</v>
      </c>
      <c r="B301" s="106" t="s">
        <v>411</v>
      </c>
      <c r="C301" s="179" t="s">
        <v>412</v>
      </c>
      <c r="D301" s="106" t="s">
        <v>11</v>
      </c>
      <c r="E301" s="179" t="s">
        <v>20</v>
      </c>
      <c r="F301" s="179" t="s">
        <v>1182</v>
      </c>
      <c r="G301" s="179" t="s">
        <v>1183</v>
      </c>
      <c r="H301" s="191" t="n">
        <v>1</v>
      </c>
      <c r="I301" s="106" t="s">
        <v>601</v>
      </c>
    </row>
    <row r="302" customFormat="false" ht="15" hidden="false" customHeight="false" outlineLevel="0" collapsed="false">
      <c r="A302" s="102" t="s">
        <v>1499</v>
      </c>
      <c r="B302" s="102" t="s">
        <v>411</v>
      </c>
      <c r="C302" s="177" t="s">
        <v>412</v>
      </c>
      <c r="D302" s="102" t="s">
        <v>11</v>
      </c>
      <c r="E302" s="177" t="s">
        <v>20</v>
      </c>
      <c r="F302" s="177" t="s">
        <v>1192</v>
      </c>
      <c r="G302" s="177" t="s">
        <v>1193</v>
      </c>
      <c r="H302" s="190" t="n">
        <v>0.75</v>
      </c>
      <c r="I302" s="102" t="s">
        <v>1217</v>
      </c>
    </row>
    <row r="303" customFormat="false" ht="15" hidden="false" customHeight="false" outlineLevel="0" collapsed="false">
      <c r="A303" s="106" t="s">
        <v>1500</v>
      </c>
      <c r="B303" s="106" t="s">
        <v>411</v>
      </c>
      <c r="C303" s="179" t="s">
        <v>412</v>
      </c>
      <c r="D303" s="106" t="s">
        <v>11</v>
      </c>
      <c r="E303" s="179" t="s">
        <v>20</v>
      </c>
      <c r="F303" s="179" t="s">
        <v>1195</v>
      </c>
      <c r="G303" s="179" t="s">
        <v>1196</v>
      </c>
      <c r="H303" s="191" t="n">
        <v>0.25</v>
      </c>
      <c r="I303" s="106" t="s">
        <v>1222</v>
      </c>
    </row>
    <row r="304" customFormat="false" ht="15" hidden="false" customHeight="false" outlineLevel="0" collapsed="false">
      <c r="A304" s="102" t="s">
        <v>1501</v>
      </c>
      <c r="B304" s="102" t="s">
        <v>414</v>
      </c>
      <c r="C304" s="177" t="s">
        <v>415</v>
      </c>
      <c r="D304" s="102" t="s">
        <v>11</v>
      </c>
      <c r="E304" s="177" t="s">
        <v>20</v>
      </c>
      <c r="F304" s="177" t="s">
        <v>1187</v>
      </c>
      <c r="G304" s="177" t="s">
        <v>1188</v>
      </c>
      <c r="H304" s="190" t="n">
        <v>1</v>
      </c>
      <c r="I304" s="102" t="s">
        <v>601</v>
      </c>
    </row>
    <row r="305" customFormat="false" ht="15" hidden="false" customHeight="false" outlineLevel="0" collapsed="false">
      <c r="A305" s="106" t="s">
        <v>1502</v>
      </c>
      <c r="B305" s="106" t="s">
        <v>414</v>
      </c>
      <c r="C305" s="179" t="s">
        <v>415</v>
      </c>
      <c r="D305" s="106" t="s">
        <v>11</v>
      </c>
      <c r="E305" s="179" t="s">
        <v>20</v>
      </c>
      <c r="F305" s="179" t="s">
        <v>1199</v>
      </c>
      <c r="G305" s="179" t="s">
        <v>1188</v>
      </c>
      <c r="H305" s="191" t="n">
        <v>0.5</v>
      </c>
      <c r="I305" s="106" t="s">
        <v>1217</v>
      </c>
    </row>
    <row r="306" customFormat="false" ht="15" hidden="false" customHeight="false" outlineLevel="0" collapsed="false">
      <c r="A306" s="102" t="s">
        <v>1503</v>
      </c>
      <c r="B306" s="102" t="s">
        <v>414</v>
      </c>
      <c r="C306" s="177" t="s">
        <v>415</v>
      </c>
      <c r="D306" s="102" t="s">
        <v>11</v>
      </c>
      <c r="E306" s="177" t="s">
        <v>20</v>
      </c>
      <c r="F306" s="177" t="s">
        <v>1208</v>
      </c>
      <c r="G306" s="177" t="s">
        <v>1209</v>
      </c>
      <c r="H306" s="190" t="n">
        <v>1</v>
      </c>
      <c r="I306" s="102" t="s">
        <v>601</v>
      </c>
    </row>
    <row r="307" customFormat="false" ht="15" hidden="false" customHeight="false" outlineLevel="0" collapsed="false">
      <c r="A307" s="106" t="s">
        <v>1504</v>
      </c>
      <c r="B307" s="106" t="s">
        <v>414</v>
      </c>
      <c r="C307" s="179" t="s">
        <v>415</v>
      </c>
      <c r="D307" s="106" t="s">
        <v>11</v>
      </c>
      <c r="E307" s="179" t="s">
        <v>20</v>
      </c>
      <c r="F307" s="179" t="s">
        <v>1182</v>
      </c>
      <c r="G307" s="179" t="s">
        <v>1183</v>
      </c>
      <c r="H307" s="191" t="n">
        <v>1</v>
      </c>
      <c r="I307" s="106" t="s">
        <v>601</v>
      </c>
    </row>
    <row r="308" customFormat="false" ht="15" hidden="false" customHeight="false" outlineLevel="0" collapsed="false">
      <c r="A308" s="102" t="s">
        <v>1505</v>
      </c>
      <c r="B308" s="102" t="s">
        <v>414</v>
      </c>
      <c r="C308" s="177" t="s">
        <v>415</v>
      </c>
      <c r="D308" s="102" t="s">
        <v>11</v>
      </c>
      <c r="E308" s="177" t="s">
        <v>20</v>
      </c>
      <c r="F308" s="177" t="s">
        <v>1192</v>
      </c>
      <c r="G308" s="177" t="s">
        <v>1193</v>
      </c>
      <c r="H308" s="190" t="n">
        <v>1</v>
      </c>
      <c r="I308" s="102" t="s">
        <v>601</v>
      </c>
    </row>
    <row r="309" customFormat="false" ht="15" hidden="false" customHeight="false" outlineLevel="0" collapsed="false">
      <c r="A309" s="106" t="s">
        <v>1506</v>
      </c>
      <c r="B309" s="106" t="s">
        <v>414</v>
      </c>
      <c r="C309" s="179" t="s">
        <v>415</v>
      </c>
      <c r="D309" s="106" t="s">
        <v>11</v>
      </c>
      <c r="E309" s="179" t="s">
        <v>20</v>
      </c>
      <c r="F309" s="179" t="s">
        <v>1195</v>
      </c>
      <c r="G309" s="179" t="s">
        <v>1196</v>
      </c>
      <c r="H309" s="191" t="n">
        <v>1</v>
      </c>
      <c r="I309" s="106" t="s">
        <v>601</v>
      </c>
    </row>
    <row r="310" customFormat="false" ht="15" hidden="false" customHeight="false" outlineLevel="0" collapsed="false">
      <c r="A310" s="102" t="s">
        <v>1507</v>
      </c>
      <c r="B310" s="102" t="s">
        <v>414</v>
      </c>
      <c r="C310" s="177" t="s">
        <v>415</v>
      </c>
      <c r="D310" s="102" t="s">
        <v>11</v>
      </c>
      <c r="E310" s="177" t="s">
        <v>20</v>
      </c>
      <c r="F310" s="177" t="s">
        <v>1204</v>
      </c>
      <c r="G310" s="177" t="s">
        <v>1205</v>
      </c>
      <c r="H310" s="190" t="n">
        <v>0.25</v>
      </c>
      <c r="I310" s="102" t="s">
        <v>1222</v>
      </c>
    </row>
    <row r="311" customFormat="false" ht="15" hidden="false" customHeight="false" outlineLevel="0" collapsed="false">
      <c r="A311" s="106" t="s">
        <v>1508</v>
      </c>
      <c r="B311" s="106" t="s">
        <v>76</v>
      </c>
      <c r="C311" s="179" t="s">
        <v>77</v>
      </c>
      <c r="D311" s="106" t="s">
        <v>11</v>
      </c>
      <c r="E311" s="179" t="s">
        <v>20</v>
      </c>
      <c r="F311" s="179" t="s">
        <v>1187</v>
      </c>
      <c r="G311" s="179" t="s">
        <v>1188</v>
      </c>
      <c r="H311" s="191" t="n">
        <v>1</v>
      </c>
      <c r="I311" s="106" t="s">
        <v>601</v>
      </c>
    </row>
    <row r="312" customFormat="false" ht="15" hidden="false" customHeight="false" outlineLevel="0" collapsed="false">
      <c r="A312" s="102" t="s">
        <v>1509</v>
      </c>
      <c r="B312" s="102" t="s">
        <v>76</v>
      </c>
      <c r="C312" s="177" t="s">
        <v>77</v>
      </c>
      <c r="D312" s="102" t="s">
        <v>11</v>
      </c>
      <c r="E312" s="177" t="s">
        <v>20</v>
      </c>
      <c r="F312" s="177" t="s">
        <v>1199</v>
      </c>
      <c r="G312" s="177" t="s">
        <v>1188</v>
      </c>
      <c r="H312" s="190" t="n">
        <v>1</v>
      </c>
      <c r="I312" s="102" t="s">
        <v>601</v>
      </c>
    </row>
    <row r="313" customFormat="false" ht="15" hidden="false" customHeight="false" outlineLevel="0" collapsed="false">
      <c r="A313" s="106" t="s">
        <v>1510</v>
      </c>
      <c r="B313" s="106" t="s">
        <v>76</v>
      </c>
      <c r="C313" s="179" t="s">
        <v>77</v>
      </c>
      <c r="D313" s="106" t="s">
        <v>11</v>
      </c>
      <c r="E313" s="179" t="s">
        <v>20</v>
      </c>
      <c r="F313" s="179" t="s">
        <v>1208</v>
      </c>
      <c r="G313" s="179" t="s">
        <v>1209</v>
      </c>
      <c r="H313" s="191" t="n">
        <v>0.25</v>
      </c>
      <c r="I313" s="106" t="s">
        <v>1222</v>
      </c>
    </row>
    <row r="314" customFormat="false" ht="15" hidden="false" customHeight="false" outlineLevel="0" collapsed="false">
      <c r="A314" s="102" t="s">
        <v>1511</v>
      </c>
      <c r="B314" s="102" t="s">
        <v>76</v>
      </c>
      <c r="C314" s="177" t="s">
        <v>77</v>
      </c>
      <c r="D314" s="102" t="s">
        <v>11</v>
      </c>
      <c r="E314" s="177" t="s">
        <v>20</v>
      </c>
      <c r="F314" s="177" t="s">
        <v>1204</v>
      </c>
      <c r="G314" s="177" t="s">
        <v>1205</v>
      </c>
      <c r="H314" s="190" t="n">
        <v>1</v>
      </c>
      <c r="I314" s="102" t="s">
        <v>601</v>
      </c>
    </row>
    <row r="315" customFormat="false" ht="15" hidden="false" customHeight="false" outlineLevel="0" collapsed="false">
      <c r="A315" s="106" t="s">
        <v>1512</v>
      </c>
      <c r="B315" s="106" t="s">
        <v>76</v>
      </c>
      <c r="C315" s="179" t="s">
        <v>77</v>
      </c>
      <c r="D315" s="106" t="s">
        <v>11</v>
      </c>
      <c r="E315" s="179" t="s">
        <v>20</v>
      </c>
      <c r="F315" s="179" t="s">
        <v>1201</v>
      </c>
      <c r="G315" s="179" t="s">
        <v>20</v>
      </c>
      <c r="H315" s="191" t="n">
        <v>0.5</v>
      </c>
      <c r="I315" s="106" t="s">
        <v>1217</v>
      </c>
    </row>
    <row r="316" customFormat="false" ht="15" hidden="false" customHeight="false" outlineLevel="0" collapsed="false">
      <c r="A316" s="102" t="s">
        <v>1513</v>
      </c>
      <c r="B316" s="102" t="s">
        <v>56</v>
      </c>
      <c r="C316" s="177" t="s">
        <v>57</v>
      </c>
      <c r="D316" s="102" t="s">
        <v>11</v>
      </c>
      <c r="E316" s="177" t="s">
        <v>20</v>
      </c>
      <c r="F316" s="177" t="s">
        <v>1187</v>
      </c>
      <c r="G316" s="177" t="s">
        <v>1188</v>
      </c>
      <c r="H316" s="190" t="n">
        <v>1</v>
      </c>
      <c r="I316" s="102" t="s">
        <v>601</v>
      </c>
    </row>
    <row r="317" customFormat="false" ht="15" hidden="false" customHeight="false" outlineLevel="0" collapsed="false">
      <c r="A317" s="106" t="s">
        <v>1514</v>
      </c>
      <c r="B317" s="106" t="s">
        <v>56</v>
      </c>
      <c r="C317" s="179" t="s">
        <v>57</v>
      </c>
      <c r="D317" s="106" t="s">
        <v>11</v>
      </c>
      <c r="E317" s="179" t="s">
        <v>20</v>
      </c>
      <c r="F317" s="179" t="s">
        <v>1199</v>
      </c>
      <c r="G317" s="179" t="s">
        <v>1188</v>
      </c>
      <c r="H317" s="191" t="n">
        <v>0.5</v>
      </c>
      <c r="I317" s="106" t="s">
        <v>1217</v>
      </c>
    </row>
    <row r="318" customFormat="false" ht="15" hidden="false" customHeight="false" outlineLevel="0" collapsed="false">
      <c r="A318" s="102" t="s">
        <v>1515</v>
      </c>
      <c r="B318" s="102" t="s">
        <v>56</v>
      </c>
      <c r="C318" s="177" t="s">
        <v>57</v>
      </c>
      <c r="D318" s="102" t="s">
        <v>11</v>
      </c>
      <c r="E318" s="177" t="s">
        <v>20</v>
      </c>
      <c r="F318" s="177" t="s">
        <v>1208</v>
      </c>
      <c r="G318" s="177" t="s">
        <v>1209</v>
      </c>
      <c r="H318" s="190" t="n">
        <v>0</v>
      </c>
      <c r="I318" s="102" t="s">
        <v>1222</v>
      </c>
    </row>
    <row r="319" customFormat="false" ht="15" hidden="false" customHeight="false" outlineLevel="0" collapsed="false">
      <c r="A319" s="106" t="s">
        <v>1516</v>
      </c>
      <c r="B319" s="106" t="s">
        <v>56</v>
      </c>
      <c r="C319" s="179" t="s">
        <v>57</v>
      </c>
      <c r="D319" s="106" t="s">
        <v>11</v>
      </c>
      <c r="E319" s="179" t="s">
        <v>20</v>
      </c>
      <c r="F319" s="179" t="s">
        <v>1195</v>
      </c>
      <c r="G319" s="179" t="s">
        <v>1196</v>
      </c>
      <c r="H319" s="191" t="n">
        <v>0</v>
      </c>
      <c r="I319" s="106" t="s">
        <v>1222</v>
      </c>
    </row>
    <row r="320" customFormat="false" ht="15" hidden="false" customHeight="false" outlineLevel="0" collapsed="false">
      <c r="A320" s="102" t="s">
        <v>1517</v>
      </c>
      <c r="B320" s="102" t="s">
        <v>56</v>
      </c>
      <c r="C320" s="177" t="s">
        <v>57</v>
      </c>
      <c r="D320" s="102" t="s">
        <v>11</v>
      </c>
      <c r="E320" s="177" t="s">
        <v>20</v>
      </c>
      <c r="F320" s="177" t="s">
        <v>1182</v>
      </c>
      <c r="G320" s="177" t="s">
        <v>1183</v>
      </c>
      <c r="H320" s="190" t="n">
        <v>1</v>
      </c>
      <c r="I320" s="102" t="s">
        <v>601</v>
      </c>
    </row>
    <row r="321" customFormat="false" ht="15" hidden="false" customHeight="false" outlineLevel="0" collapsed="false">
      <c r="A321" s="106" t="s">
        <v>1518</v>
      </c>
      <c r="B321" s="106" t="s">
        <v>56</v>
      </c>
      <c r="C321" s="179" t="s">
        <v>57</v>
      </c>
      <c r="D321" s="106" t="s">
        <v>11</v>
      </c>
      <c r="E321" s="179" t="s">
        <v>20</v>
      </c>
      <c r="F321" s="179" t="s">
        <v>1204</v>
      </c>
      <c r="G321" s="179" t="s">
        <v>1205</v>
      </c>
      <c r="H321" s="191" t="n">
        <v>1</v>
      </c>
      <c r="I321" s="106" t="s">
        <v>601</v>
      </c>
    </row>
    <row r="322" customFormat="false" ht="15" hidden="false" customHeight="false" outlineLevel="0" collapsed="false">
      <c r="A322" s="102" t="s">
        <v>1519</v>
      </c>
      <c r="B322" s="102" t="s">
        <v>56</v>
      </c>
      <c r="C322" s="177" t="s">
        <v>57</v>
      </c>
      <c r="D322" s="102" t="s">
        <v>11</v>
      </c>
      <c r="E322" s="177" t="s">
        <v>20</v>
      </c>
      <c r="F322" s="177" t="s">
        <v>1201</v>
      </c>
      <c r="G322" s="177" t="s">
        <v>20</v>
      </c>
      <c r="H322" s="190" t="n">
        <v>1</v>
      </c>
      <c r="I322" s="102" t="s">
        <v>601</v>
      </c>
    </row>
    <row r="323" customFormat="false" ht="15" hidden="false" customHeight="false" outlineLevel="0" collapsed="false">
      <c r="A323" s="106" t="s">
        <v>1520</v>
      </c>
      <c r="B323" s="106" t="s">
        <v>78</v>
      </c>
      <c r="C323" s="179" t="s">
        <v>79</v>
      </c>
      <c r="D323" s="106" t="s">
        <v>11</v>
      </c>
      <c r="E323" s="179" t="s">
        <v>21</v>
      </c>
      <c r="F323" s="179" t="s">
        <v>1187</v>
      </c>
      <c r="G323" s="179" t="s">
        <v>1188</v>
      </c>
      <c r="H323" s="191" t="n">
        <v>1</v>
      </c>
      <c r="I323" s="106" t="s">
        <v>601</v>
      </c>
    </row>
    <row r="324" customFormat="false" ht="15" hidden="false" customHeight="false" outlineLevel="0" collapsed="false">
      <c r="A324" s="102" t="s">
        <v>1521</v>
      </c>
      <c r="B324" s="102" t="s">
        <v>78</v>
      </c>
      <c r="C324" s="177" t="s">
        <v>79</v>
      </c>
      <c r="D324" s="102" t="s">
        <v>11</v>
      </c>
      <c r="E324" s="177" t="s">
        <v>21</v>
      </c>
      <c r="F324" s="177" t="s">
        <v>1199</v>
      </c>
      <c r="G324" s="177" t="s">
        <v>1188</v>
      </c>
      <c r="H324" s="190" t="n">
        <v>1</v>
      </c>
      <c r="I324" s="102" t="s">
        <v>601</v>
      </c>
    </row>
    <row r="325" customFormat="false" ht="15" hidden="false" customHeight="false" outlineLevel="0" collapsed="false">
      <c r="A325" s="106" t="s">
        <v>1522</v>
      </c>
      <c r="B325" s="106" t="s">
        <v>78</v>
      </c>
      <c r="C325" s="179" t="s">
        <v>79</v>
      </c>
      <c r="D325" s="106" t="s">
        <v>11</v>
      </c>
      <c r="E325" s="179" t="s">
        <v>21</v>
      </c>
      <c r="F325" s="179" t="s">
        <v>1208</v>
      </c>
      <c r="G325" s="179" t="s">
        <v>1209</v>
      </c>
      <c r="H325" s="191" t="n">
        <v>1</v>
      </c>
      <c r="I325" s="106" t="s">
        <v>601</v>
      </c>
    </row>
    <row r="326" customFormat="false" ht="15" hidden="false" customHeight="false" outlineLevel="0" collapsed="false">
      <c r="A326" s="102" t="s">
        <v>1523</v>
      </c>
      <c r="B326" s="102" t="s">
        <v>78</v>
      </c>
      <c r="C326" s="177" t="s">
        <v>79</v>
      </c>
      <c r="D326" s="102" t="s">
        <v>11</v>
      </c>
      <c r="E326" s="177" t="s">
        <v>21</v>
      </c>
      <c r="F326" s="177" t="s">
        <v>1195</v>
      </c>
      <c r="G326" s="177" t="s">
        <v>1196</v>
      </c>
      <c r="H326" s="190" t="n">
        <v>0.75</v>
      </c>
      <c r="I326" s="102" t="s">
        <v>1217</v>
      </c>
    </row>
    <row r="327" customFormat="false" ht="15" hidden="false" customHeight="false" outlineLevel="0" collapsed="false">
      <c r="A327" s="106" t="s">
        <v>1524</v>
      </c>
      <c r="B327" s="106" t="s">
        <v>78</v>
      </c>
      <c r="C327" s="179" t="s">
        <v>79</v>
      </c>
      <c r="D327" s="106" t="s">
        <v>11</v>
      </c>
      <c r="E327" s="179" t="s">
        <v>21</v>
      </c>
      <c r="F327" s="179" t="s">
        <v>1182</v>
      </c>
      <c r="G327" s="179" t="s">
        <v>1183</v>
      </c>
      <c r="H327" s="191" t="n">
        <v>0.75</v>
      </c>
      <c r="I327" s="106" t="s">
        <v>1217</v>
      </c>
    </row>
    <row r="328" customFormat="false" ht="15" hidden="false" customHeight="false" outlineLevel="0" collapsed="false">
      <c r="A328" s="102" t="s">
        <v>1525</v>
      </c>
      <c r="B328" s="102" t="s">
        <v>78</v>
      </c>
      <c r="C328" s="177" t="s">
        <v>79</v>
      </c>
      <c r="D328" s="102" t="s">
        <v>11</v>
      </c>
      <c r="E328" s="177" t="s">
        <v>21</v>
      </c>
      <c r="F328" s="177" t="s">
        <v>1204</v>
      </c>
      <c r="G328" s="177" t="s">
        <v>1205</v>
      </c>
      <c r="H328" s="190" t="n">
        <v>1</v>
      </c>
      <c r="I328" s="102" t="s">
        <v>601</v>
      </c>
    </row>
    <row r="329" customFormat="false" ht="15" hidden="false" customHeight="false" outlineLevel="0" collapsed="false">
      <c r="A329" s="106" t="s">
        <v>1526</v>
      </c>
      <c r="B329" s="106" t="s">
        <v>90</v>
      </c>
      <c r="C329" s="179" t="s">
        <v>91</v>
      </c>
      <c r="D329" s="106" t="s">
        <v>11</v>
      </c>
      <c r="E329" s="179" t="s">
        <v>21</v>
      </c>
      <c r="F329" s="179" t="s">
        <v>1187</v>
      </c>
      <c r="G329" s="179" t="s">
        <v>1188</v>
      </c>
      <c r="H329" s="191" t="n">
        <v>0.75</v>
      </c>
      <c r="I329" s="106" t="s">
        <v>1217</v>
      </c>
    </row>
    <row r="330" customFormat="false" ht="15" hidden="false" customHeight="false" outlineLevel="0" collapsed="false">
      <c r="A330" s="102" t="s">
        <v>1527</v>
      </c>
      <c r="B330" s="102" t="s">
        <v>90</v>
      </c>
      <c r="C330" s="177" t="s">
        <v>91</v>
      </c>
      <c r="D330" s="102" t="s">
        <v>11</v>
      </c>
      <c r="E330" s="177" t="s">
        <v>21</v>
      </c>
      <c r="F330" s="177" t="s">
        <v>1199</v>
      </c>
      <c r="G330" s="177" t="s">
        <v>1188</v>
      </c>
      <c r="H330" s="190" t="n">
        <v>1</v>
      </c>
      <c r="I330" s="102" t="s">
        <v>601</v>
      </c>
    </row>
    <row r="331" customFormat="false" ht="15" hidden="false" customHeight="false" outlineLevel="0" collapsed="false">
      <c r="A331" s="106" t="s">
        <v>1528</v>
      </c>
      <c r="B331" s="106" t="s">
        <v>90</v>
      </c>
      <c r="C331" s="179" t="s">
        <v>91</v>
      </c>
      <c r="D331" s="106" t="s">
        <v>11</v>
      </c>
      <c r="E331" s="179" t="s">
        <v>21</v>
      </c>
      <c r="F331" s="179" t="s">
        <v>1208</v>
      </c>
      <c r="G331" s="179" t="s">
        <v>1209</v>
      </c>
      <c r="H331" s="191" t="n">
        <v>0.75</v>
      </c>
      <c r="I331" s="106" t="s">
        <v>1217</v>
      </c>
    </row>
    <row r="332" customFormat="false" ht="15" hidden="false" customHeight="false" outlineLevel="0" collapsed="false">
      <c r="A332" s="102" t="s">
        <v>1529</v>
      </c>
      <c r="B332" s="102" t="s">
        <v>90</v>
      </c>
      <c r="C332" s="177" t="s">
        <v>91</v>
      </c>
      <c r="D332" s="102" t="s">
        <v>11</v>
      </c>
      <c r="E332" s="177" t="s">
        <v>21</v>
      </c>
      <c r="F332" s="177" t="s">
        <v>1204</v>
      </c>
      <c r="G332" s="177" t="s">
        <v>1205</v>
      </c>
      <c r="H332" s="190" t="n">
        <v>1</v>
      </c>
      <c r="I332" s="102" t="s">
        <v>601</v>
      </c>
    </row>
    <row r="333" customFormat="false" ht="15" hidden="false" customHeight="false" outlineLevel="0" collapsed="false">
      <c r="A333" s="106" t="s">
        <v>1530</v>
      </c>
      <c r="B333" s="106" t="s">
        <v>90</v>
      </c>
      <c r="C333" s="179" t="s">
        <v>91</v>
      </c>
      <c r="D333" s="106" t="s">
        <v>11</v>
      </c>
      <c r="E333" s="179" t="s">
        <v>21</v>
      </c>
      <c r="F333" s="179" t="s">
        <v>1201</v>
      </c>
      <c r="G333" s="179" t="s">
        <v>20</v>
      </c>
      <c r="H333" s="191" t="n">
        <v>0.25</v>
      </c>
      <c r="I333" s="106" t="s">
        <v>1222</v>
      </c>
    </row>
    <row r="334" customFormat="false" ht="15" hidden="false" customHeight="false" outlineLevel="0" collapsed="false">
      <c r="A334" s="102" t="s">
        <v>1531</v>
      </c>
      <c r="B334" s="102" t="s">
        <v>90</v>
      </c>
      <c r="C334" s="177" t="s">
        <v>91</v>
      </c>
      <c r="D334" s="102" t="s">
        <v>11</v>
      </c>
      <c r="E334" s="177" t="s">
        <v>21</v>
      </c>
      <c r="F334" s="177" t="s">
        <v>1182</v>
      </c>
      <c r="G334" s="177" t="s">
        <v>1183</v>
      </c>
      <c r="H334" s="190" t="n">
        <v>1</v>
      </c>
      <c r="I334" s="102" t="s">
        <v>601</v>
      </c>
    </row>
    <row r="335" customFormat="false" ht="15" hidden="false" customHeight="false" outlineLevel="0" collapsed="false">
      <c r="A335" s="106" t="s">
        <v>1532</v>
      </c>
      <c r="B335" s="106" t="s">
        <v>421</v>
      </c>
      <c r="C335" s="179" t="s">
        <v>422</v>
      </c>
      <c r="D335" s="106" t="s">
        <v>11</v>
      </c>
      <c r="E335" s="179" t="s">
        <v>21</v>
      </c>
      <c r="F335" s="179" t="s">
        <v>1187</v>
      </c>
      <c r="G335" s="179" t="s">
        <v>1188</v>
      </c>
      <c r="H335" s="191" t="n">
        <v>0.75</v>
      </c>
      <c r="I335" s="106" t="s">
        <v>1217</v>
      </c>
    </row>
    <row r="336" customFormat="false" ht="15" hidden="false" customHeight="false" outlineLevel="0" collapsed="false">
      <c r="A336" s="102" t="s">
        <v>1533</v>
      </c>
      <c r="B336" s="102" t="s">
        <v>421</v>
      </c>
      <c r="C336" s="177" t="s">
        <v>422</v>
      </c>
      <c r="D336" s="102" t="s">
        <v>11</v>
      </c>
      <c r="E336" s="177" t="s">
        <v>21</v>
      </c>
      <c r="F336" s="177" t="s">
        <v>1199</v>
      </c>
      <c r="G336" s="177" t="s">
        <v>1188</v>
      </c>
      <c r="H336" s="190" t="n">
        <v>1</v>
      </c>
      <c r="I336" s="102" t="s">
        <v>601</v>
      </c>
    </row>
    <row r="337" customFormat="false" ht="15" hidden="false" customHeight="false" outlineLevel="0" collapsed="false">
      <c r="A337" s="106" t="s">
        <v>1534</v>
      </c>
      <c r="B337" s="106" t="s">
        <v>421</v>
      </c>
      <c r="C337" s="179" t="s">
        <v>422</v>
      </c>
      <c r="D337" s="106" t="s">
        <v>11</v>
      </c>
      <c r="E337" s="179" t="s">
        <v>21</v>
      </c>
      <c r="F337" s="179" t="s">
        <v>1208</v>
      </c>
      <c r="G337" s="179" t="s">
        <v>1209</v>
      </c>
      <c r="H337" s="191" t="n">
        <v>0.75</v>
      </c>
      <c r="I337" s="106" t="s">
        <v>1217</v>
      </c>
    </row>
    <row r="338" customFormat="false" ht="15" hidden="false" customHeight="false" outlineLevel="0" collapsed="false">
      <c r="A338" s="102" t="s">
        <v>1535</v>
      </c>
      <c r="B338" s="102" t="s">
        <v>421</v>
      </c>
      <c r="C338" s="177" t="s">
        <v>422</v>
      </c>
      <c r="D338" s="102" t="s">
        <v>11</v>
      </c>
      <c r="E338" s="177" t="s">
        <v>21</v>
      </c>
      <c r="F338" s="177" t="s">
        <v>1195</v>
      </c>
      <c r="G338" s="177" t="s">
        <v>1196</v>
      </c>
      <c r="H338" s="190" t="n">
        <v>1</v>
      </c>
      <c r="I338" s="102" t="s">
        <v>601</v>
      </c>
    </row>
    <row r="339" customFormat="false" ht="15" hidden="false" customHeight="false" outlineLevel="0" collapsed="false">
      <c r="A339" s="106" t="s">
        <v>1536</v>
      </c>
      <c r="B339" s="106" t="s">
        <v>421</v>
      </c>
      <c r="C339" s="179" t="s">
        <v>422</v>
      </c>
      <c r="D339" s="106" t="s">
        <v>11</v>
      </c>
      <c r="E339" s="179" t="s">
        <v>21</v>
      </c>
      <c r="F339" s="179" t="s">
        <v>1182</v>
      </c>
      <c r="G339" s="179" t="s">
        <v>1183</v>
      </c>
      <c r="H339" s="191" t="n">
        <v>1</v>
      </c>
      <c r="I339" s="106" t="s">
        <v>601</v>
      </c>
    </row>
    <row r="340" customFormat="false" ht="15" hidden="false" customHeight="false" outlineLevel="0" collapsed="false">
      <c r="A340" s="102" t="s">
        <v>1537</v>
      </c>
      <c r="B340" s="102" t="s">
        <v>421</v>
      </c>
      <c r="C340" s="177" t="s">
        <v>422</v>
      </c>
      <c r="D340" s="102" t="s">
        <v>11</v>
      </c>
      <c r="E340" s="177" t="s">
        <v>21</v>
      </c>
      <c r="F340" s="177" t="s">
        <v>1192</v>
      </c>
      <c r="G340" s="177" t="s">
        <v>1193</v>
      </c>
      <c r="H340" s="190" t="n">
        <v>0</v>
      </c>
      <c r="I340" s="102" t="s">
        <v>1222</v>
      </c>
    </row>
    <row r="341" customFormat="false" ht="15" hidden="false" customHeight="false" outlineLevel="0" collapsed="false">
      <c r="A341" s="106" t="s">
        <v>1538</v>
      </c>
      <c r="B341" s="106" t="s">
        <v>421</v>
      </c>
      <c r="C341" s="179" t="s">
        <v>422</v>
      </c>
      <c r="D341" s="106" t="s">
        <v>11</v>
      </c>
      <c r="E341" s="179" t="s">
        <v>21</v>
      </c>
      <c r="F341" s="179" t="s">
        <v>1201</v>
      </c>
      <c r="G341" s="179" t="s">
        <v>20</v>
      </c>
      <c r="H341" s="191" t="n">
        <v>1</v>
      </c>
      <c r="I341" s="106" t="s">
        <v>601</v>
      </c>
    </row>
    <row r="342" customFormat="false" ht="15" hidden="false" customHeight="false" outlineLevel="0" collapsed="false">
      <c r="A342" s="102" t="s">
        <v>1539</v>
      </c>
      <c r="B342" s="102" t="s">
        <v>423</v>
      </c>
      <c r="C342" s="177" t="s">
        <v>424</v>
      </c>
      <c r="D342" s="102" t="s">
        <v>11</v>
      </c>
      <c r="E342" s="177" t="s">
        <v>21</v>
      </c>
      <c r="F342" s="177" t="s">
        <v>1187</v>
      </c>
      <c r="G342" s="177" t="s">
        <v>1188</v>
      </c>
      <c r="H342" s="190" t="n">
        <v>1</v>
      </c>
      <c r="I342" s="102" t="s">
        <v>601</v>
      </c>
    </row>
    <row r="343" customFormat="false" ht="15" hidden="false" customHeight="false" outlineLevel="0" collapsed="false">
      <c r="A343" s="106" t="s">
        <v>1540</v>
      </c>
      <c r="B343" s="106" t="s">
        <v>423</v>
      </c>
      <c r="C343" s="179" t="s">
        <v>424</v>
      </c>
      <c r="D343" s="106" t="s">
        <v>11</v>
      </c>
      <c r="E343" s="179" t="s">
        <v>21</v>
      </c>
      <c r="F343" s="179" t="s">
        <v>1199</v>
      </c>
      <c r="G343" s="179" t="s">
        <v>1188</v>
      </c>
      <c r="H343" s="191" t="n">
        <v>0.25</v>
      </c>
      <c r="I343" s="106" t="s">
        <v>1222</v>
      </c>
    </row>
    <row r="344" customFormat="false" ht="15" hidden="false" customHeight="false" outlineLevel="0" collapsed="false">
      <c r="A344" s="102" t="s">
        <v>1541</v>
      </c>
      <c r="B344" s="102" t="s">
        <v>423</v>
      </c>
      <c r="C344" s="177" t="s">
        <v>424</v>
      </c>
      <c r="D344" s="102" t="s">
        <v>11</v>
      </c>
      <c r="E344" s="177" t="s">
        <v>21</v>
      </c>
      <c r="F344" s="177" t="s">
        <v>1208</v>
      </c>
      <c r="G344" s="177" t="s">
        <v>1209</v>
      </c>
      <c r="H344" s="190" t="n">
        <v>0.25</v>
      </c>
      <c r="I344" s="102" t="s">
        <v>1222</v>
      </c>
    </row>
    <row r="345" customFormat="false" ht="15" hidden="false" customHeight="false" outlineLevel="0" collapsed="false">
      <c r="A345" s="106" t="s">
        <v>1542</v>
      </c>
      <c r="B345" s="106" t="s">
        <v>423</v>
      </c>
      <c r="C345" s="179" t="s">
        <v>424</v>
      </c>
      <c r="D345" s="106" t="s">
        <v>11</v>
      </c>
      <c r="E345" s="179" t="s">
        <v>21</v>
      </c>
      <c r="F345" s="179" t="s">
        <v>1192</v>
      </c>
      <c r="G345" s="179" t="s">
        <v>1193</v>
      </c>
      <c r="H345" s="191" t="n">
        <v>1</v>
      </c>
      <c r="I345" s="106" t="s">
        <v>601</v>
      </c>
    </row>
    <row r="346" customFormat="false" ht="15" hidden="false" customHeight="false" outlineLevel="0" collapsed="false">
      <c r="A346" s="102" t="s">
        <v>1543</v>
      </c>
      <c r="B346" s="102" t="s">
        <v>423</v>
      </c>
      <c r="C346" s="177" t="s">
        <v>424</v>
      </c>
      <c r="D346" s="102" t="s">
        <v>11</v>
      </c>
      <c r="E346" s="177" t="s">
        <v>21</v>
      </c>
      <c r="F346" s="177" t="s">
        <v>1195</v>
      </c>
      <c r="G346" s="177" t="s">
        <v>1196</v>
      </c>
      <c r="H346" s="190" t="n">
        <v>0.75</v>
      </c>
      <c r="I346" s="102" t="s">
        <v>1217</v>
      </c>
    </row>
    <row r="347" customFormat="false" ht="15" hidden="false" customHeight="false" outlineLevel="0" collapsed="false">
      <c r="A347" s="106" t="s">
        <v>1544</v>
      </c>
      <c r="B347" s="106" t="s">
        <v>425</v>
      </c>
      <c r="C347" s="179" t="s">
        <v>426</v>
      </c>
      <c r="D347" s="106" t="s">
        <v>11</v>
      </c>
      <c r="E347" s="179" t="s">
        <v>21</v>
      </c>
      <c r="F347" s="179" t="s">
        <v>1187</v>
      </c>
      <c r="G347" s="179" t="s">
        <v>1188</v>
      </c>
      <c r="H347" s="191" t="n">
        <v>1</v>
      </c>
      <c r="I347" s="106" t="s">
        <v>601</v>
      </c>
    </row>
    <row r="348" customFormat="false" ht="15" hidden="false" customHeight="false" outlineLevel="0" collapsed="false">
      <c r="A348" s="102" t="s">
        <v>1545</v>
      </c>
      <c r="B348" s="102" t="s">
        <v>425</v>
      </c>
      <c r="C348" s="177" t="s">
        <v>426</v>
      </c>
      <c r="D348" s="102" t="s">
        <v>11</v>
      </c>
      <c r="E348" s="177" t="s">
        <v>21</v>
      </c>
      <c r="F348" s="177" t="s">
        <v>1199</v>
      </c>
      <c r="G348" s="177" t="s">
        <v>1188</v>
      </c>
      <c r="H348" s="190" t="n">
        <v>1</v>
      </c>
      <c r="I348" s="102" t="s">
        <v>601</v>
      </c>
    </row>
    <row r="349" customFormat="false" ht="15" hidden="false" customHeight="false" outlineLevel="0" collapsed="false">
      <c r="A349" s="106" t="s">
        <v>1546</v>
      </c>
      <c r="B349" s="106" t="s">
        <v>425</v>
      </c>
      <c r="C349" s="179" t="s">
        <v>426</v>
      </c>
      <c r="D349" s="106" t="s">
        <v>11</v>
      </c>
      <c r="E349" s="179" t="s">
        <v>21</v>
      </c>
      <c r="F349" s="179" t="s">
        <v>1208</v>
      </c>
      <c r="G349" s="179" t="s">
        <v>1209</v>
      </c>
      <c r="H349" s="191" t="n">
        <v>0.5</v>
      </c>
      <c r="I349" s="106" t="s">
        <v>1217</v>
      </c>
    </row>
    <row r="350" customFormat="false" ht="15" hidden="false" customHeight="false" outlineLevel="0" collapsed="false">
      <c r="A350" s="102" t="s">
        <v>1547</v>
      </c>
      <c r="B350" s="102" t="s">
        <v>425</v>
      </c>
      <c r="C350" s="177" t="s">
        <v>426</v>
      </c>
      <c r="D350" s="102" t="s">
        <v>11</v>
      </c>
      <c r="E350" s="177" t="s">
        <v>21</v>
      </c>
      <c r="F350" s="177" t="s">
        <v>1201</v>
      </c>
      <c r="G350" s="177" t="s">
        <v>20</v>
      </c>
      <c r="H350" s="190" t="n">
        <v>1</v>
      </c>
      <c r="I350" s="102" t="s">
        <v>601</v>
      </c>
    </row>
    <row r="351" customFormat="false" ht="15" hidden="false" customHeight="false" outlineLevel="0" collapsed="false">
      <c r="A351" s="106" t="s">
        <v>1548</v>
      </c>
      <c r="B351" s="106" t="s">
        <v>425</v>
      </c>
      <c r="C351" s="179" t="s">
        <v>426</v>
      </c>
      <c r="D351" s="106" t="s">
        <v>11</v>
      </c>
      <c r="E351" s="179" t="s">
        <v>21</v>
      </c>
      <c r="F351" s="179" t="s">
        <v>1182</v>
      </c>
      <c r="G351" s="179" t="s">
        <v>1183</v>
      </c>
      <c r="H351" s="191" t="n">
        <v>1</v>
      </c>
      <c r="I351" s="106" t="s">
        <v>601</v>
      </c>
    </row>
    <row r="352" customFormat="false" ht="15" hidden="false" customHeight="false" outlineLevel="0" collapsed="false">
      <c r="A352" s="102" t="s">
        <v>1549</v>
      </c>
      <c r="B352" s="102" t="s">
        <v>425</v>
      </c>
      <c r="C352" s="177" t="s">
        <v>426</v>
      </c>
      <c r="D352" s="102" t="s">
        <v>11</v>
      </c>
      <c r="E352" s="177" t="s">
        <v>21</v>
      </c>
      <c r="F352" s="177" t="s">
        <v>1195</v>
      </c>
      <c r="G352" s="177" t="s">
        <v>1196</v>
      </c>
      <c r="H352" s="190" t="n">
        <v>1</v>
      </c>
      <c r="I352" s="102" t="s">
        <v>601</v>
      </c>
    </row>
    <row r="353" customFormat="false" ht="15" hidden="false" customHeight="false" outlineLevel="0" collapsed="false">
      <c r="A353" s="106" t="s">
        <v>1550</v>
      </c>
      <c r="B353" s="106" t="s">
        <v>428</v>
      </c>
      <c r="C353" s="179" t="s">
        <v>132</v>
      </c>
      <c r="D353" s="106" t="s">
        <v>11</v>
      </c>
      <c r="E353" s="179" t="s">
        <v>21</v>
      </c>
      <c r="F353" s="179" t="s">
        <v>1187</v>
      </c>
      <c r="G353" s="179" t="s">
        <v>1188</v>
      </c>
      <c r="H353" s="191" t="n">
        <v>1</v>
      </c>
      <c r="I353" s="106" t="s">
        <v>601</v>
      </c>
    </row>
    <row r="354" customFormat="false" ht="15" hidden="false" customHeight="false" outlineLevel="0" collapsed="false">
      <c r="A354" s="102" t="s">
        <v>1551</v>
      </c>
      <c r="B354" s="102" t="s">
        <v>428</v>
      </c>
      <c r="C354" s="177" t="s">
        <v>132</v>
      </c>
      <c r="D354" s="102" t="s">
        <v>11</v>
      </c>
      <c r="E354" s="177" t="s">
        <v>21</v>
      </c>
      <c r="F354" s="177" t="s">
        <v>1199</v>
      </c>
      <c r="G354" s="177" t="s">
        <v>1188</v>
      </c>
      <c r="H354" s="190" t="n">
        <v>1</v>
      </c>
      <c r="I354" s="102" t="s">
        <v>601</v>
      </c>
    </row>
    <row r="355" customFormat="false" ht="15" hidden="false" customHeight="false" outlineLevel="0" collapsed="false">
      <c r="A355" s="106" t="s">
        <v>1552</v>
      </c>
      <c r="B355" s="106" t="s">
        <v>428</v>
      </c>
      <c r="C355" s="179" t="s">
        <v>132</v>
      </c>
      <c r="D355" s="106" t="s">
        <v>11</v>
      </c>
      <c r="E355" s="179" t="s">
        <v>21</v>
      </c>
      <c r="F355" s="179" t="s">
        <v>1208</v>
      </c>
      <c r="G355" s="179" t="s">
        <v>1209</v>
      </c>
      <c r="H355" s="191" t="n">
        <v>0.5</v>
      </c>
      <c r="I355" s="106" t="s">
        <v>1217</v>
      </c>
    </row>
    <row r="356" customFormat="false" ht="15" hidden="false" customHeight="false" outlineLevel="0" collapsed="false">
      <c r="A356" s="102" t="s">
        <v>1553</v>
      </c>
      <c r="B356" s="102" t="s">
        <v>428</v>
      </c>
      <c r="C356" s="177" t="s">
        <v>132</v>
      </c>
      <c r="D356" s="102" t="s">
        <v>11</v>
      </c>
      <c r="E356" s="177" t="s">
        <v>21</v>
      </c>
      <c r="F356" s="177" t="s">
        <v>1192</v>
      </c>
      <c r="G356" s="177" t="s">
        <v>1193</v>
      </c>
      <c r="H356" s="190" t="n">
        <v>0.75</v>
      </c>
      <c r="I356" s="102" t="s">
        <v>1217</v>
      </c>
    </row>
    <row r="357" customFormat="false" ht="15" hidden="false" customHeight="false" outlineLevel="0" collapsed="false">
      <c r="A357" s="106" t="s">
        <v>1554</v>
      </c>
      <c r="B357" s="106" t="s">
        <v>428</v>
      </c>
      <c r="C357" s="179" t="s">
        <v>132</v>
      </c>
      <c r="D357" s="106" t="s">
        <v>11</v>
      </c>
      <c r="E357" s="179" t="s">
        <v>21</v>
      </c>
      <c r="F357" s="179" t="s">
        <v>1195</v>
      </c>
      <c r="G357" s="179" t="s">
        <v>1196</v>
      </c>
      <c r="H357" s="191" t="n">
        <v>0.75</v>
      </c>
      <c r="I357" s="106" t="s">
        <v>1217</v>
      </c>
    </row>
    <row r="358" customFormat="false" ht="15" hidden="false" customHeight="false" outlineLevel="0" collapsed="false">
      <c r="A358" s="102" t="s">
        <v>1555</v>
      </c>
      <c r="B358" s="102" t="s">
        <v>64</v>
      </c>
      <c r="C358" s="177" t="s">
        <v>65</v>
      </c>
      <c r="D358" s="102" t="s">
        <v>11</v>
      </c>
      <c r="E358" s="177" t="s">
        <v>21</v>
      </c>
      <c r="F358" s="177" t="s">
        <v>1187</v>
      </c>
      <c r="G358" s="177" t="s">
        <v>1188</v>
      </c>
      <c r="H358" s="190" t="n">
        <v>1</v>
      </c>
      <c r="I358" s="102" t="s">
        <v>601</v>
      </c>
    </row>
    <row r="359" customFormat="false" ht="15" hidden="false" customHeight="false" outlineLevel="0" collapsed="false">
      <c r="A359" s="106" t="s">
        <v>1556</v>
      </c>
      <c r="B359" s="106" t="s">
        <v>64</v>
      </c>
      <c r="C359" s="179" t="s">
        <v>65</v>
      </c>
      <c r="D359" s="106" t="s">
        <v>11</v>
      </c>
      <c r="E359" s="179" t="s">
        <v>21</v>
      </c>
      <c r="F359" s="179" t="s">
        <v>1199</v>
      </c>
      <c r="G359" s="179" t="s">
        <v>1188</v>
      </c>
      <c r="H359" s="191" t="n">
        <v>1</v>
      </c>
      <c r="I359" s="106" t="s">
        <v>601</v>
      </c>
    </row>
    <row r="360" customFormat="false" ht="15" hidden="false" customHeight="false" outlineLevel="0" collapsed="false">
      <c r="A360" s="102" t="s">
        <v>1557</v>
      </c>
      <c r="B360" s="102" t="s">
        <v>64</v>
      </c>
      <c r="C360" s="177" t="s">
        <v>65</v>
      </c>
      <c r="D360" s="102" t="s">
        <v>11</v>
      </c>
      <c r="E360" s="177" t="s">
        <v>21</v>
      </c>
      <c r="F360" s="177" t="s">
        <v>1208</v>
      </c>
      <c r="G360" s="177" t="s">
        <v>1209</v>
      </c>
      <c r="H360" s="190" t="n">
        <v>0.75</v>
      </c>
      <c r="I360" s="102" t="s">
        <v>1217</v>
      </c>
    </row>
    <row r="361" customFormat="false" ht="15" hidden="false" customHeight="false" outlineLevel="0" collapsed="false">
      <c r="A361" s="106" t="s">
        <v>1558</v>
      </c>
      <c r="B361" s="106" t="s">
        <v>64</v>
      </c>
      <c r="C361" s="179" t="s">
        <v>65</v>
      </c>
      <c r="D361" s="106" t="s">
        <v>11</v>
      </c>
      <c r="E361" s="179" t="s">
        <v>21</v>
      </c>
      <c r="F361" s="179" t="s">
        <v>1201</v>
      </c>
      <c r="G361" s="179" t="s">
        <v>20</v>
      </c>
      <c r="H361" s="191" t="n">
        <v>1</v>
      </c>
      <c r="I361" s="106" t="s">
        <v>601</v>
      </c>
    </row>
    <row r="362" customFormat="false" ht="15" hidden="false" customHeight="false" outlineLevel="0" collapsed="false">
      <c r="A362" s="102" t="s">
        <v>1559</v>
      </c>
      <c r="B362" s="102" t="s">
        <v>64</v>
      </c>
      <c r="C362" s="177" t="s">
        <v>65</v>
      </c>
      <c r="D362" s="102" t="s">
        <v>11</v>
      </c>
      <c r="E362" s="177" t="s">
        <v>21</v>
      </c>
      <c r="F362" s="177" t="s">
        <v>1195</v>
      </c>
      <c r="G362" s="177" t="s">
        <v>1196</v>
      </c>
      <c r="H362" s="190" t="n">
        <v>1</v>
      </c>
      <c r="I362" s="102" t="s">
        <v>601</v>
      </c>
    </row>
    <row r="363" customFormat="false" ht="15" hidden="false" customHeight="false" outlineLevel="0" collapsed="false">
      <c r="A363" s="106" t="s">
        <v>1560</v>
      </c>
      <c r="B363" s="106" t="s">
        <v>64</v>
      </c>
      <c r="C363" s="179" t="s">
        <v>65</v>
      </c>
      <c r="D363" s="106" t="s">
        <v>11</v>
      </c>
      <c r="E363" s="179" t="s">
        <v>21</v>
      </c>
      <c r="F363" s="179" t="s">
        <v>1182</v>
      </c>
      <c r="G363" s="179" t="s">
        <v>1183</v>
      </c>
      <c r="H363" s="191" t="n">
        <v>1</v>
      </c>
      <c r="I363" s="106" t="s">
        <v>601</v>
      </c>
    </row>
    <row r="364" customFormat="false" ht="15" hidden="false" customHeight="false" outlineLevel="0" collapsed="false">
      <c r="A364" s="102" t="s">
        <v>1561</v>
      </c>
      <c r="B364" s="102" t="s">
        <v>92</v>
      </c>
      <c r="C364" s="177" t="s">
        <v>93</v>
      </c>
      <c r="D364" s="102" t="s">
        <v>11</v>
      </c>
      <c r="E364" s="177" t="s">
        <v>22</v>
      </c>
      <c r="F364" s="177" t="s">
        <v>1187</v>
      </c>
      <c r="G364" s="177" t="s">
        <v>1188</v>
      </c>
      <c r="H364" s="190" t="n">
        <v>1</v>
      </c>
      <c r="I364" s="102" t="s">
        <v>601</v>
      </c>
    </row>
    <row r="365" customFormat="false" ht="15" hidden="false" customHeight="false" outlineLevel="0" collapsed="false">
      <c r="A365" s="106" t="s">
        <v>1562</v>
      </c>
      <c r="B365" s="106" t="s">
        <v>92</v>
      </c>
      <c r="C365" s="179" t="s">
        <v>93</v>
      </c>
      <c r="D365" s="106" t="s">
        <v>11</v>
      </c>
      <c r="E365" s="179" t="s">
        <v>22</v>
      </c>
      <c r="F365" s="179" t="s">
        <v>1199</v>
      </c>
      <c r="G365" s="179" t="s">
        <v>1188</v>
      </c>
      <c r="H365" s="191" t="n">
        <v>0</v>
      </c>
      <c r="I365" s="106" t="s">
        <v>1222</v>
      </c>
    </row>
    <row r="366" customFormat="false" ht="15" hidden="false" customHeight="false" outlineLevel="0" collapsed="false">
      <c r="A366" s="102" t="s">
        <v>1563</v>
      </c>
      <c r="B366" s="102" t="s">
        <v>92</v>
      </c>
      <c r="C366" s="177" t="s">
        <v>93</v>
      </c>
      <c r="D366" s="102" t="s">
        <v>11</v>
      </c>
      <c r="E366" s="177" t="s">
        <v>22</v>
      </c>
      <c r="F366" s="177" t="s">
        <v>1208</v>
      </c>
      <c r="G366" s="177" t="s">
        <v>1209</v>
      </c>
      <c r="H366" s="190" t="n">
        <v>1</v>
      </c>
      <c r="I366" s="102" t="s">
        <v>601</v>
      </c>
    </row>
    <row r="367" customFormat="false" ht="15" hidden="false" customHeight="false" outlineLevel="0" collapsed="false">
      <c r="A367" s="106" t="s">
        <v>1564</v>
      </c>
      <c r="B367" s="106" t="s">
        <v>92</v>
      </c>
      <c r="C367" s="179" t="s">
        <v>93</v>
      </c>
      <c r="D367" s="106" t="s">
        <v>11</v>
      </c>
      <c r="E367" s="179" t="s">
        <v>22</v>
      </c>
      <c r="F367" s="179" t="s">
        <v>1195</v>
      </c>
      <c r="G367" s="179" t="s">
        <v>1196</v>
      </c>
      <c r="H367" s="191" t="n">
        <v>1</v>
      </c>
      <c r="I367" s="106" t="s">
        <v>601</v>
      </c>
    </row>
    <row r="368" customFormat="false" ht="15" hidden="false" customHeight="false" outlineLevel="0" collapsed="false">
      <c r="A368" s="102" t="s">
        <v>1565</v>
      </c>
      <c r="B368" s="102" t="s">
        <v>92</v>
      </c>
      <c r="C368" s="177" t="s">
        <v>93</v>
      </c>
      <c r="D368" s="102" t="s">
        <v>11</v>
      </c>
      <c r="E368" s="177" t="s">
        <v>22</v>
      </c>
      <c r="F368" s="177" t="s">
        <v>1201</v>
      </c>
      <c r="G368" s="177" t="s">
        <v>20</v>
      </c>
      <c r="H368" s="190" t="n">
        <v>1</v>
      </c>
      <c r="I368" s="102" t="s">
        <v>601</v>
      </c>
    </row>
    <row r="369" customFormat="false" ht="15" hidden="false" customHeight="false" outlineLevel="0" collapsed="false">
      <c r="A369" s="106" t="s">
        <v>1566</v>
      </c>
      <c r="B369" s="106" t="s">
        <v>92</v>
      </c>
      <c r="C369" s="179" t="s">
        <v>93</v>
      </c>
      <c r="D369" s="106" t="s">
        <v>11</v>
      </c>
      <c r="E369" s="179" t="s">
        <v>22</v>
      </c>
      <c r="F369" s="179" t="s">
        <v>1182</v>
      </c>
      <c r="G369" s="179" t="s">
        <v>1183</v>
      </c>
      <c r="H369" s="191" t="n">
        <v>1</v>
      </c>
      <c r="I369" s="106" t="s">
        <v>601</v>
      </c>
    </row>
    <row r="370" customFormat="false" ht="15" hidden="false" customHeight="false" outlineLevel="0" collapsed="false">
      <c r="A370" s="102" t="s">
        <v>1567</v>
      </c>
      <c r="B370" s="102" t="s">
        <v>70</v>
      </c>
      <c r="C370" s="177" t="s">
        <v>71</v>
      </c>
      <c r="D370" s="102" t="s">
        <v>11</v>
      </c>
      <c r="E370" s="177" t="s">
        <v>22</v>
      </c>
      <c r="F370" s="177" t="s">
        <v>1187</v>
      </c>
      <c r="G370" s="177" t="s">
        <v>1188</v>
      </c>
      <c r="H370" s="190" t="n">
        <v>1</v>
      </c>
      <c r="I370" s="102" t="s">
        <v>601</v>
      </c>
    </row>
    <row r="371" customFormat="false" ht="15" hidden="false" customHeight="false" outlineLevel="0" collapsed="false">
      <c r="A371" s="106" t="s">
        <v>1568</v>
      </c>
      <c r="B371" s="106" t="s">
        <v>70</v>
      </c>
      <c r="C371" s="179" t="s">
        <v>71</v>
      </c>
      <c r="D371" s="106" t="s">
        <v>11</v>
      </c>
      <c r="E371" s="179" t="s">
        <v>22</v>
      </c>
      <c r="F371" s="179" t="s">
        <v>1199</v>
      </c>
      <c r="G371" s="179" t="s">
        <v>1188</v>
      </c>
      <c r="H371" s="191" t="n">
        <v>0.5</v>
      </c>
      <c r="I371" s="106" t="s">
        <v>1217</v>
      </c>
    </row>
    <row r="372" customFormat="false" ht="15" hidden="false" customHeight="false" outlineLevel="0" collapsed="false">
      <c r="A372" s="102" t="s">
        <v>1569</v>
      </c>
      <c r="B372" s="102" t="s">
        <v>70</v>
      </c>
      <c r="C372" s="177" t="s">
        <v>71</v>
      </c>
      <c r="D372" s="102" t="s">
        <v>11</v>
      </c>
      <c r="E372" s="177" t="s">
        <v>22</v>
      </c>
      <c r="F372" s="177" t="s">
        <v>1208</v>
      </c>
      <c r="G372" s="177" t="s">
        <v>1209</v>
      </c>
      <c r="H372" s="190" t="n">
        <v>1</v>
      </c>
      <c r="I372" s="102" t="s">
        <v>601</v>
      </c>
    </row>
    <row r="373" customFormat="false" ht="15" hidden="false" customHeight="false" outlineLevel="0" collapsed="false">
      <c r="A373" s="106" t="s">
        <v>1570</v>
      </c>
      <c r="B373" s="106" t="s">
        <v>70</v>
      </c>
      <c r="C373" s="179" t="s">
        <v>71</v>
      </c>
      <c r="D373" s="106" t="s">
        <v>11</v>
      </c>
      <c r="E373" s="179" t="s">
        <v>22</v>
      </c>
      <c r="F373" s="179" t="s">
        <v>1195</v>
      </c>
      <c r="G373" s="179" t="s">
        <v>1196</v>
      </c>
      <c r="H373" s="191" t="n">
        <v>0.75</v>
      </c>
      <c r="I373" s="106" t="s">
        <v>1217</v>
      </c>
    </row>
    <row r="374" customFormat="false" ht="15" hidden="false" customHeight="false" outlineLevel="0" collapsed="false">
      <c r="A374" s="102" t="s">
        <v>1571</v>
      </c>
      <c r="B374" s="102" t="s">
        <v>70</v>
      </c>
      <c r="C374" s="177" t="s">
        <v>71</v>
      </c>
      <c r="D374" s="102" t="s">
        <v>11</v>
      </c>
      <c r="E374" s="177" t="s">
        <v>22</v>
      </c>
      <c r="F374" s="177" t="s">
        <v>1182</v>
      </c>
      <c r="G374" s="177" t="s">
        <v>1183</v>
      </c>
      <c r="H374" s="190" t="n">
        <v>0</v>
      </c>
      <c r="I374" s="102" t="s">
        <v>1222</v>
      </c>
    </row>
    <row r="375" customFormat="false" ht="15" hidden="false" customHeight="false" outlineLevel="0" collapsed="false">
      <c r="A375" s="106" t="s">
        <v>1572</v>
      </c>
      <c r="B375" s="106" t="s">
        <v>431</v>
      </c>
      <c r="C375" s="179" t="s">
        <v>432</v>
      </c>
      <c r="D375" s="106" t="s">
        <v>11</v>
      </c>
      <c r="E375" s="179" t="s">
        <v>22</v>
      </c>
      <c r="F375" s="179" t="s">
        <v>1187</v>
      </c>
      <c r="G375" s="179" t="s">
        <v>1188</v>
      </c>
      <c r="H375" s="191" t="n">
        <v>1</v>
      </c>
      <c r="I375" s="106" t="s">
        <v>601</v>
      </c>
    </row>
    <row r="376" customFormat="false" ht="15" hidden="false" customHeight="false" outlineLevel="0" collapsed="false">
      <c r="A376" s="102" t="s">
        <v>1573</v>
      </c>
      <c r="B376" s="102" t="s">
        <v>431</v>
      </c>
      <c r="C376" s="177" t="s">
        <v>432</v>
      </c>
      <c r="D376" s="102" t="s">
        <v>11</v>
      </c>
      <c r="E376" s="177" t="s">
        <v>22</v>
      </c>
      <c r="F376" s="177" t="s">
        <v>1199</v>
      </c>
      <c r="G376" s="177" t="s">
        <v>1188</v>
      </c>
      <c r="H376" s="190" t="n">
        <v>0.5</v>
      </c>
      <c r="I376" s="102" t="s">
        <v>1217</v>
      </c>
    </row>
    <row r="377" customFormat="false" ht="15" hidden="false" customHeight="false" outlineLevel="0" collapsed="false">
      <c r="A377" s="106" t="s">
        <v>1574</v>
      </c>
      <c r="B377" s="106" t="s">
        <v>431</v>
      </c>
      <c r="C377" s="179" t="s">
        <v>432</v>
      </c>
      <c r="D377" s="106" t="s">
        <v>11</v>
      </c>
      <c r="E377" s="179" t="s">
        <v>22</v>
      </c>
      <c r="F377" s="179" t="s">
        <v>1208</v>
      </c>
      <c r="G377" s="179" t="s">
        <v>1209</v>
      </c>
      <c r="H377" s="191" t="n">
        <v>1</v>
      </c>
      <c r="I377" s="106" t="s">
        <v>601</v>
      </c>
    </row>
    <row r="378" customFormat="false" ht="15" hidden="false" customHeight="false" outlineLevel="0" collapsed="false">
      <c r="A378" s="102" t="s">
        <v>1575</v>
      </c>
      <c r="B378" s="102" t="s">
        <v>431</v>
      </c>
      <c r="C378" s="177" t="s">
        <v>432</v>
      </c>
      <c r="D378" s="102" t="s">
        <v>11</v>
      </c>
      <c r="E378" s="177" t="s">
        <v>22</v>
      </c>
      <c r="F378" s="177" t="s">
        <v>1204</v>
      </c>
      <c r="G378" s="177" t="s">
        <v>1205</v>
      </c>
      <c r="H378" s="190" t="n">
        <v>0</v>
      </c>
      <c r="I378" s="102" t="s">
        <v>1222</v>
      </c>
    </row>
    <row r="379" customFormat="false" ht="15" hidden="false" customHeight="false" outlineLevel="0" collapsed="false">
      <c r="A379" s="106" t="s">
        <v>1576</v>
      </c>
      <c r="B379" s="106" t="s">
        <v>431</v>
      </c>
      <c r="C379" s="179" t="s">
        <v>432</v>
      </c>
      <c r="D379" s="106" t="s">
        <v>11</v>
      </c>
      <c r="E379" s="179" t="s">
        <v>22</v>
      </c>
      <c r="F379" s="179" t="s">
        <v>1182</v>
      </c>
      <c r="G379" s="179" t="s">
        <v>1183</v>
      </c>
      <c r="H379" s="191" t="n">
        <v>0.5</v>
      </c>
      <c r="I379" s="106" t="s">
        <v>1217</v>
      </c>
    </row>
    <row r="380" customFormat="false" ht="15" hidden="false" customHeight="false" outlineLevel="0" collapsed="false">
      <c r="A380" s="102" t="s">
        <v>1577</v>
      </c>
      <c r="B380" s="102" t="s">
        <v>431</v>
      </c>
      <c r="C380" s="177" t="s">
        <v>432</v>
      </c>
      <c r="D380" s="102" t="s">
        <v>11</v>
      </c>
      <c r="E380" s="177" t="s">
        <v>22</v>
      </c>
      <c r="F380" s="177" t="s">
        <v>1195</v>
      </c>
      <c r="G380" s="177" t="s">
        <v>1196</v>
      </c>
      <c r="H380" s="190" t="n">
        <v>1</v>
      </c>
      <c r="I380" s="102" t="s">
        <v>601</v>
      </c>
    </row>
    <row r="381" customFormat="false" ht="15" hidden="false" customHeight="false" outlineLevel="0" collapsed="false">
      <c r="A381" s="106" t="s">
        <v>1578</v>
      </c>
      <c r="B381" s="106" t="s">
        <v>435</v>
      </c>
      <c r="C381" s="179" t="s">
        <v>436</v>
      </c>
      <c r="D381" s="106" t="s">
        <v>11</v>
      </c>
      <c r="E381" s="179" t="s">
        <v>22</v>
      </c>
      <c r="F381" s="179" t="s">
        <v>1187</v>
      </c>
      <c r="G381" s="179" t="s">
        <v>1188</v>
      </c>
      <c r="H381" s="191" t="n">
        <v>0.5</v>
      </c>
      <c r="I381" s="106" t="s">
        <v>1217</v>
      </c>
    </row>
    <row r="382" customFormat="false" ht="15" hidden="false" customHeight="false" outlineLevel="0" collapsed="false">
      <c r="A382" s="102" t="s">
        <v>1579</v>
      </c>
      <c r="B382" s="102" t="s">
        <v>435</v>
      </c>
      <c r="C382" s="177" t="s">
        <v>436</v>
      </c>
      <c r="D382" s="102" t="s">
        <v>11</v>
      </c>
      <c r="E382" s="177" t="s">
        <v>22</v>
      </c>
      <c r="F382" s="177" t="s">
        <v>1199</v>
      </c>
      <c r="G382" s="177" t="s">
        <v>1188</v>
      </c>
      <c r="H382" s="190" t="n">
        <v>1</v>
      </c>
      <c r="I382" s="102" t="s">
        <v>601</v>
      </c>
    </row>
    <row r="383" customFormat="false" ht="15" hidden="false" customHeight="false" outlineLevel="0" collapsed="false">
      <c r="A383" s="106" t="s">
        <v>1580</v>
      </c>
      <c r="B383" s="106" t="s">
        <v>435</v>
      </c>
      <c r="C383" s="179" t="s">
        <v>436</v>
      </c>
      <c r="D383" s="106" t="s">
        <v>11</v>
      </c>
      <c r="E383" s="179" t="s">
        <v>22</v>
      </c>
      <c r="F383" s="179" t="s">
        <v>1208</v>
      </c>
      <c r="G383" s="179" t="s">
        <v>1209</v>
      </c>
      <c r="H383" s="191" t="n">
        <v>1</v>
      </c>
      <c r="I383" s="106" t="s">
        <v>601</v>
      </c>
    </row>
    <row r="384" customFormat="false" ht="15" hidden="false" customHeight="false" outlineLevel="0" collapsed="false">
      <c r="A384" s="102" t="s">
        <v>1581</v>
      </c>
      <c r="B384" s="102" t="s">
        <v>435</v>
      </c>
      <c r="C384" s="177" t="s">
        <v>436</v>
      </c>
      <c r="D384" s="102" t="s">
        <v>11</v>
      </c>
      <c r="E384" s="177" t="s">
        <v>22</v>
      </c>
      <c r="F384" s="177" t="s">
        <v>1192</v>
      </c>
      <c r="G384" s="177" t="s">
        <v>1193</v>
      </c>
      <c r="H384" s="190" t="n">
        <v>0.5</v>
      </c>
      <c r="I384" s="102" t="s">
        <v>1217</v>
      </c>
    </row>
    <row r="385" customFormat="false" ht="15" hidden="false" customHeight="false" outlineLevel="0" collapsed="false">
      <c r="A385" s="106" t="s">
        <v>1582</v>
      </c>
      <c r="B385" s="106" t="s">
        <v>435</v>
      </c>
      <c r="C385" s="179" t="s">
        <v>436</v>
      </c>
      <c r="D385" s="106" t="s">
        <v>11</v>
      </c>
      <c r="E385" s="179" t="s">
        <v>22</v>
      </c>
      <c r="F385" s="179" t="s">
        <v>1182</v>
      </c>
      <c r="G385" s="179" t="s">
        <v>1183</v>
      </c>
      <c r="H385" s="191" t="n">
        <v>0</v>
      </c>
      <c r="I385" s="106" t="s">
        <v>1222</v>
      </c>
    </row>
    <row r="386" customFormat="false" ht="15" hidden="false" customHeight="false" outlineLevel="0" collapsed="false">
      <c r="A386" s="102" t="s">
        <v>1583</v>
      </c>
      <c r="B386" s="102" t="s">
        <v>435</v>
      </c>
      <c r="C386" s="177" t="s">
        <v>436</v>
      </c>
      <c r="D386" s="102" t="s">
        <v>11</v>
      </c>
      <c r="E386" s="177" t="s">
        <v>22</v>
      </c>
      <c r="F386" s="177" t="s">
        <v>1204</v>
      </c>
      <c r="G386" s="177" t="s">
        <v>1205</v>
      </c>
      <c r="H386" s="190" t="n">
        <v>1</v>
      </c>
      <c r="I386" s="102" t="s">
        <v>601</v>
      </c>
    </row>
    <row r="387" customFormat="false" ht="15" hidden="false" customHeight="false" outlineLevel="0" collapsed="false">
      <c r="A387" s="106" t="s">
        <v>1584</v>
      </c>
      <c r="B387" s="106" t="s">
        <v>435</v>
      </c>
      <c r="C387" s="179" t="s">
        <v>436</v>
      </c>
      <c r="D387" s="106" t="s">
        <v>11</v>
      </c>
      <c r="E387" s="179" t="s">
        <v>22</v>
      </c>
      <c r="F387" s="179" t="s">
        <v>1201</v>
      </c>
      <c r="G387" s="179" t="s">
        <v>20</v>
      </c>
      <c r="H387" s="191" t="n">
        <v>0.5</v>
      </c>
      <c r="I387" s="106" t="s">
        <v>1217</v>
      </c>
    </row>
    <row r="388" customFormat="false" ht="15" hidden="false" customHeight="false" outlineLevel="0" collapsed="false">
      <c r="A388" s="102" t="s">
        <v>1585</v>
      </c>
      <c r="B388" s="102" t="s">
        <v>438</v>
      </c>
      <c r="C388" s="177" t="s">
        <v>439</v>
      </c>
      <c r="D388" s="102" t="s">
        <v>11</v>
      </c>
      <c r="E388" s="177" t="s">
        <v>22</v>
      </c>
      <c r="F388" s="177" t="s">
        <v>1187</v>
      </c>
      <c r="G388" s="177" t="s">
        <v>1188</v>
      </c>
      <c r="H388" s="190" t="n">
        <v>1</v>
      </c>
      <c r="I388" s="102" t="s">
        <v>601</v>
      </c>
    </row>
    <row r="389" customFormat="false" ht="15" hidden="false" customHeight="false" outlineLevel="0" collapsed="false">
      <c r="A389" s="106" t="s">
        <v>1586</v>
      </c>
      <c r="B389" s="106" t="s">
        <v>438</v>
      </c>
      <c r="C389" s="179" t="s">
        <v>439</v>
      </c>
      <c r="D389" s="106" t="s">
        <v>11</v>
      </c>
      <c r="E389" s="179" t="s">
        <v>22</v>
      </c>
      <c r="F389" s="179" t="s">
        <v>1199</v>
      </c>
      <c r="G389" s="179" t="s">
        <v>1188</v>
      </c>
      <c r="H389" s="191" t="n">
        <v>1</v>
      </c>
      <c r="I389" s="106" t="s">
        <v>601</v>
      </c>
    </row>
    <row r="390" customFormat="false" ht="15" hidden="false" customHeight="false" outlineLevel="0" collapsed="false">
      <c r="A390" s="102" t="s">
        <v>1587</v>
      </c>
      <c r="B390" s="102" t="s">
        <v>438</v>
      </c>
      <c r="C390" s="177" t="s">
        <v>439</v>
      </c>
      <c r="D390" s="102" t="s">
        <v>11</v>
      </c>
      <c r="E390" s="177" t="s">
        <v>22</v>
      </c>
      <c r="F390" s="177" t="s">
        <v>1208</v>
      </c>
      <c r="G390" s="177" t="s">
        <v>1209</v>
      </c>
      <c r="H390" s="190" t="n">
        <v>0.25</v>
      </c>
      <c r="I390" s="102" t="s">
        <v>1222</v>
      </c>
    </row>
    <row r="391" customFormat="false" ht="15" hidden="false" customHeight="false" outlineLevel="0" collapsed="false">
      <c r="A391" s="106" t="s">
        <v>1588</v>
      </c>
      <c r="B391" s="106" t="s">
        <v>438</v>
      </c>
      <c r="C391" s="179" t="s">
        <v>439</v>
      </c>
      <c r="D391" s="106" t="s">
        <v>11</v>
      </c>
      <c r="E391" s="179" t="s">
        <v>22</v>
      </c>
      <c r="F391" s="179" t="s">
        <v>1182</v>
      </c>
      <c r="G391" s="179" t="s">
        <v>1183</v>
      </c>
      <c r="H391" s="191" t="n">
        <v>1</v>
      </c>
      <c r="I391" s="106" t="s">
        <v>601</v>
      </c>
    </row>
    <row r="392" customFormat="false" ht="15" hidden="false" customHeight="false" outlineLevel="0" collapsed="false">
      <c r="A392" s="102" t="s">
        <v>1589</v>
      </c>
      <c r="B392" s="102" t="s">
        <v>438</v>
      </c>
      <c r="C392" s="177" t="s">
        <v>439</v>
      </c>
      <c r="D392" s="102" t="s">
        <v>11</v>
      </c>
      <c r="E392" s="177" t="s">
        <v>22</v>
      </c>
      <c r="F392" s="177" t="s">
        <v>1195</v>
      </c>
      <c r="G392" s="177" t="s">
        <v>1196</v>
      </c>
      <c r="H392" s="190" t="n">
        <v>1</v>
      </c>
      <c r="I392" s="102" t="s">
        <v>601</v>
      </c>
    </row>
    <row r="393" customFormat="false" ht="15" hidden="false" customHeight="false" outlineLevel="0" collapsed="false">
      <c r="A393" s="106" t="s">
        <v>1590</v>
      </c>
      <c r="B393" s="106" t="s">
        <v>438</v>
      </c>
      <c r="C393" s="179" t="s">
        <v>439</v>
      </c>
      <c r="D393" s="106" t="s">
        <v>11</v>
      </c>
      <c r="E393" s="179" t="s">
        <v>22</v>
      </c>
      <c r="F393" s="179" t="s">
        <v>1204</v>
      </c>
      <c r="G393" s="179" t="s">
        <v>1205</v>
      </c>
      <c r="H393" s="191" t="n">
        <v>0.25</v>
      </c>
      <c r="I393" s="106" t="s">
        <v>1222</v>
      </c>
    </row>
    <row r="394" customFormat="false" ht="15" hidden="false" customHeight="false" outlineLevel="0" collapsed="false">
      <c r="A394" s="102" t="s">
        <v>1591</v>
      </c>
      <c r="B394" s="102" t="s">
        <v>60</v>
      </c>
      <c r="C394" s="177" t="s">
        <v>61</v>
      </c>
      <c r="D394" s="102" t="s">
        <v>11</v>
      </c>
      <c r="E394" s="177" t="s">
        <v>22</v>
      </c>
      <c r="F394" s="177" t="s">
        <v>1187</v>
      </c>
      <c r="G394" s="177" t="s">
        <v>1188</v>
      </c>
      <c r="H394" s="190" t="n">
        <v>1</v>
      </c>
      <c r="I394" s="102" t="s">
        <v>601</v>
      </c>
    </row>
    <row r="395" customFormat="false" ht="15" hidden="false" customHeight="false" outlineLevel="0" collapsed="false">
      <c r="A395" s="106" t="s">
        <v>1592</v>
      </c>
      <c r="B395" s="106" t="s">
        <v>60</v>
      </c>
      <c r="C395" s="179" t="s">
        <v>61</v>
      </c>
      <c r="D395" s="106" t="s">
        <v>11</v>
      </c>
      <c r="E395" s="179" t="s">
        <v>22</v>
      </c>
      <c r="F395" s="179" t="s">
        <v>1199</v>
      </c>
      <c r="G395" s="179" t="s">
        <v>1188</v>
      </c>
      <c r="H395" s="191" t="n">
        <v>0.25</v>
      </c>
      <c r="I395" s="106" t="s">
        <v>1222</v>
      </c>
    </row>
    <row r="396" customFormat="false" ht="15" hidden="false" customHeight="false" outlineLevel="0" collapsed="false">
      <c r="A396" s="102" t="s">
        <v>1593</v>
      </c>
      <c r="B396" s="102" t="s">
        <v>60</v>
      </c>
      <c r="C396" s="177" t="s">
        <v>61</v>
      </c>
      <c r="D396" s="102" t="s">
        <v>11</v>
      </c>
      <c r="E396" s="177" t="s">
        <v>22</v>
      </c>
      <c r="F396" s="177" t="s">
        <v>1208</v>
      </c>
      <c r="G396" s="177" t="s">
        <v>1209</v>
      </c>
      <c r="H396" s="190" t="n">
        <v>1</v>
      </c>
      <c r="I396" s="102" t="s">
        <v>601</v>
      </c>
    </row>
    <row r="397" customFormat="false" ht="15" hidden="false" customHeight="false" outlineLevel="0" collapsed="false">
      <c r="A397" s="106" t="s">
        <v>1594</v>
      </c>
      <c r="B397" s="106" t="s">
        <v>60</v>
      </c>
      <c r="C397" s="179" t="s">
        <v>61</v>
      </c>
      <c r="D397" s="106" t="s">
        <v>11</v>
      </c>
      <c r="E397" s="179" t="s">
        <v>22</v>
      </c>
      <c r="F397" s="179" t="s">
        <v>1182</v>
      </c>
      <c r="G397" s="179" t="s">
        <v>1183</v>
      </c>
      <c r="H397" s="191" t="n">
        <v>0.75</v>
      </c>
      <c r="I397" s="106" t="s">
        <v>1217</v>
      </c>
    </row>
    <row r="398" customFormat="false" ht="15" hidden="false" customHeight="false" outlineLevel="0" collapsed="false">
      <c r="A398" s="102" t="s">
        <v>1595</v>
      </c>
      <c r="B398" s="102" t="s">
        <v>60</v>
      </c>
      <c r="C398" s="177" t="s">
        <v>61</v>
      </c>
      <c r="D398" s="102" t="s">
        <v>11</v>
      </c>
      <c r="E398" s="177" t="s">
        <v>22</v>
      </c>
      <c r="F398" s="177" t="s">
        <v>1204</v>
      </c>
      <c r="G398" s="177" t="s">
        <v>1205</v>
      </c>
      <c r="H398" s="190" t="n">
        <v>1</v>
      </c>
      <c r="I398" s="102" t="s">
        <v>601</v>
      </c>
    </row>
    <row r="399" customFormat="false" ht="15" hidden="false" customHeight="false" outlineLevel="0" collapsed="false">
      <c r="A399" s="106" t="s">
        <v>1596</v>
      </c>
      <c r="B399" s="106" t="s">
        <v>60</v>
      </c>
      <c r="C399" s="179" t="s">
        <v>61</v>
      </c>
      <c r="D399" s="106" t="s">
        <v>11</v>
      </c>
      <c r="E399" s="179" t="s">
        <v>22</v>
      </c>
      <c r="F399" s="179" t="s">
        <v>1192</v>
      </c>
      <c r="G399" s="179" t="s">
        <v>1193</v>
      </c>
      <c r="H399" s="191" t="n">
        <v>1</v>
      </c>
      <c r="I399" s="106" t="s">
        <v>601</v>
      </c>
    </row>
    <row r="400" customFormat="false" ht="15" hidden="false" customHeight="false" outlineLevel="0" collapsed="false">
      <c r="A400" s="102" t="s">
        <v>1597</v>
      </c>
      <c r="B400" s="102" t="s">
        <v>58</v>
      </c>
      <c r="C400" s="177" t="s">
        <v>59</v>
      </c>
      <c r="D400" s="102" t="s">
        <v>11</v>
      </c>
      <c r="E400" s="177" t="s">
        <v>23</v>
      </c>
      <c r="F400" s="177" t="s">
        <v>1187</v>
      </c>
      <c r="G400" s="177" t="s">
        <v>1188</v>
      </c>
      <c r="H400" s="190" t="n">
        <v>0.25</v>
      </c>
      <c r="I400" s="102" t="s">
        <v>1222</v>
      </c>
    </row>
    <row r="401" customFormat="false" ht="15" hidden="false" customHeight="false" outlineLevel="0" collapsed="false">
      <c r="A401" s="106" t="s">
        <v>1598</v>
      </c>
      <c r="B401" s="106" t="s">
        <v>58</v>
      </c>
      <c r="C401" s="179" t="s">
        <v>59</v>
      </c>
      <c r="D401" s="106" t="s">
        <v>11</v>
      </c>
      <c r="E401" s="179" t="s">
        <v>23</v>
      </c>
      <c r="F401" s="179" t="s">
        <v>1199</v>
      </c>
      <c r="G401" s="179" t="s">
        <v>1188</v>
      </c>
      <c r="H401" s="191" t="n">
        <v>1</v>
      </c>
      <c r="I401" s="106" t="s">
        <v>601</v>
      </c>
    </row>
    <row r="402" customFormat="false" ht="15" hidden="false" customHeight="false" outlineLevel="0" collapsed="false">
      <c r="A402" s="102" t="s">
        <v>1599</v>
      </c>
      <c r="B402" s="102" t="s">
        <v>58</v>
      </c>
      <c r="C402" s="177" t="s">
        <v>59</v>
      </c>
      <c r="D402" s="102" t="s">
        <v>11</v>
      </c>
      <c r="E402" s="177" t="s">
        <v>23</v>
      </c>
      <c r="F402" s="177" t="s">
        <v>1208</v>
      </c>
      <c r="G402" s="177" t="s">
        <v>1209</v>
      </c>
      <c r="H402" s="190" t="n">
        <v>1</v>
      </c>
      <c r="I402" s="102" t="s">
        <v>601</v>
      </c>
    </row>
    <row r="403" customFormat="false" ht="15" hidden="false" customHeight="false" outlineLevel="0" collapsed="false">
      <c r="A403" s="106" t="s">
        <v>1600</v>
      </c>
      <c r="B403" s="106" t="s">
        <v>58</v>
      </c>
      <c r="C403" s="179" t="s">
        <v>59</v>
      </c>
      <c r="D403" s="106" t="s">
        <v>11</v>
      </c>
      <c r="E403" s="179" t="s">
        <v>23</v>
      </c>
      <c r="F403" s="179" t="s">
        <v>1192</v>
      </c>
      <c r="G403" s="179" t="s">
        <v>1193</v>
      </c>
      <c r="H403" s="191" t="n">
        <v>1</v>
      </c>
      <c r="I403" s="106" t="s">
        <v>601</v>
      </c>
    </row>
    <row r="404" customFormat="false" ht="15" hidden="false" customHeight="false" outlineLevel="0" collapsed="false">
      <c r="A404" s="102" t="s">
        <v>1601</v>
      </c>
      <c r="B404" s="102" t="s">
        <v>58</v>
      </c>
      <c r="C404" s="177" t="s">
        <v>59</v>
      </c>
      <c r="D404" s="102" t="s">
        <v>11</v>
      </c>
      <c r="E404" s="177" t="s">
        <v>23</v>
      </c>
      <c r="F404" s="177" t="s">
        <v>1195</v>
      </c>
      <c r="G404" s="177" t="s">
        <v>1196</v>
      </c>
      <c r="H404" s="190" t="n">
        <v>1</v>
      </c>
      <c r="I404" s="102" t="s">
        <v>601</v>
      </c>
    </row>
    <row r="405" customFormat="false" ht="15" hidden="false" customHeight="false" outlineLevel="0" collapsed="false">
      <c r="A405" s="106" t="s">
        <v>1602</v>
      </c>
      <c r="B405" s="106" t="s">
        <v>58</v>
      </c>
      <c r="C405" s="179" t="s">
        <v>59</v>
      </c>
      <c r="D405" s="106" t="s">
        <v>11</v>
      </c>
      <c r="E405" s="179" t="s">
        <v>23</v>
      </c>
      <c r="F405" s="179" t="s">
        <v>1182</v>
      </c>
      <c r="G405" s="179" t="s">
        <v>1183</v>
      </c>
      <c r="H405" s="191" t="n">
        <v>1</v>
      </c>
      <c r="I405" s="106" t="s">
        <v>601</v>
      </c>
    </row>
    <row r="406" customFormat="false" ht="15" hidden="false" customHeight="false" outlineLevel="0" collapsed="false">
      <c r="A406" s="102" t="s">
        <v>1603</v>
      </c>
      <c r="B406" s="102" t="s">
        <v>94</v>
      </c>
      <c r="C406" s="177" t="s">
        <v>95</v>
      </c>
      <c r="D406" s="102" t="s">
        <v>11</v>
      </c>
      <c r="E406" s="177" t="s">
        <v>23</v>
      </c>
      <c r="F406" s="177" t="s">
        <v>1187</v>
      </c>
      <c r="G406" s="177" t="s">
        <v>1188</v>
      </c>
      <c r="H406" s="190" t="n">
        <v>1</v>
      </c>
      <c r="I406" s="102" t="s">
        <v>601</v>
      </c>
    </row>
    <row r="407" customFormat="false" ht="15" hidden="false" customHeight="false" outlineLevel="0" collapsed="false">
      <c r="A407" s="106" t="s">
        <v>1604</v>
      </c>
      <c r="B407" s="106" t="s">
        <v>94</v>
      </c>
      <c r="C407" s="179" t="s">
        <v>95</v>
      </c>
      <c r="D407" s="106" t="s">
        <v>11</v>
      </c>
      <c r="E407" s="179" t="s">
        <v>23</v>
      </c>
      <c r="F407" s="179" t="s">
        <v>1199</v>
      </c>
      <c r="G407" s="179" t="s">
        <v>1188</v>
      </c>
      <c r="H407" s="191" t="n">
        <v>1</v>
      </c>
      <c r="I407" s="106" t="s">
        <v>601</v>
      </c>
    </row>
    <row r="408" customFormat="false" ht="15" hidden="false" customHeight="false" outlineLevel="0" collapsed="false">
      <c r="A408" s="102" t="s">
        <v>1605</v>
      </c>
      <c r="B408" s="102" t="s">
        <v>94</v>
      </c>
      <c r="C408" s="177" t="s">
        <v>95</v>
      </c>
      <c r="D408" s="102" t="s">
        <v>11</v>
      </c>
      <c r="E408" s="177" t="s">
        <v>23</v>
      </c>
      <c r="F408" s="177" t="s">
        <v>1208</v>
      </c>
      <c r="G408" s="177" t="s">
        <v>1209</v>
      </c>
      <c r="H408" s="190" t="n">
        <v>1</v>
      </c>
      <c r="I408" s="102" t="s">
        <v>601</v>
      </c>
    </row>
    <row r="409" customFormat="false" ht="15" hidden="false" customHeight="false" outlineLevel="0" collapsed="false">
      <c r="A409" s="106" t="s">
        <v>1606</v>
      </c>
      <c r="B409" s="106" t="s">
        <v>94</v>
      </c>
      <c r="C409" s="179" t="s">
        <v>95</v>
      </c>
      <c r="D409" s="106" t="s">
        <v>11</v>
      </c>
      <c r="E409" s="179" t="s">
        <v>23</v>
      </c>
      <c r="F409" s="179" t="s">
        <v>1195</v>
      </c>
      <c r="G409" s="179" t="s">
        <v>1196</v>
      </c>
      <c r="H409" s="191" t="n">
        <v>1</v>
      </c>
      <c r="I409" s="106" t="s">
        <v>601</v>
      </c>
    </row>
    <row r="410" customFormat="false" ht="15" hidden="false" customHeight="false" outlineLevel="0" collapsed="false">
      <c r="A410" s="102" t="s">
        <v>1607</v>
      </c>
      <c r="B410" s="102" t="s">
        <v>94</v>
      </c>
      <c r="C410" s="177" t="s">
        <v>95</v>
      </c>
      <c r="D410" s="102" t="s">
        <v>11</v>
      </c>
      <c r="E410" s="177" t="s">
        <v>23</v>
      </c>
      <c r="F410" s="177" t="s">
        <v>1201</v>
      </c>
      <c r="G410" s="177" t="s">
        <v>20</v>
      </c>
      <c r="H410" s="190" t="n">
        <v>0.25</v>
      </c>
      <c r="I410" s="102" t="s">
        <v>1222</v>
      </c>
    </row>
    <row r="411" customFormat="false" ht="15" hidden="false" customHeight="false" outlineLevel="0" collapsed="false">
      <c r="A411" s="106" t="s">
        <v>1608</v>
      </c>
      <c r="B411" s="106" t="s">
        <v>94</v>
      </c>
      <c r="C411" s="179" t="s">
        <v>95</v>
      </c>
      <c r="D411" s="106" t="s">
        <v>11</v>
      </c>
      <c r="E411" s="179" t="s">
        <v>23</v>
      </c>
      <c r="F411" s="179" t="s">
        <v>1192</v>
      </c>
      <c r="G411" s="179" t="s">
        <v>1193</v>
      </c>
      <c r="H411" s="191" t="n">
        <v>1</v>
      </c>
      <c r="I411" s="106" t="s">
        <v>601</v>
      </c>
    </row>
    <row r="412" customFormat="false" ht="15" hidden="false" customHeight="false" outlineLevel="0" collapsed="false">
      <c r="A412" s="102" t="s">
        <v>1609</v>
      </c>
      <c r="B412" s="102" t="s">
        <v>94</v>
      </c>
      <c r="C412" s="177" t="s">
        <v>95</v>
      </c>
      <c r="D412" s="102" t="s">
        <v>11</v>
      </c>
      <c r="E412" s="177" t="s">
        <v>23</v>
      </c>
      <c r="F412" s="177" t="s">
        <v>1204</v>
      </c>
      <c r="G412" s="177" t="s">
        <v>1205</v>
      </c>
      <c r="H412" s="190" t="n">
        <v>1</v>
      </c>
      <c r="I412" s="102" t="s">
        <v>601</v>
      </c>
    </row>
    <row r="413" customFormat="false" ht="15" hidden="false" customHeight="false" outlineLevel="0" collapsed="false">
      <c r="A413" s="106" t="s">
        <v>1610</v>
      </c>
      <c r="B413" s="106" t="s">
        <v>444</v>
      </c>
      <c r="C413" s="179" t="s">
        <v>445</v>
      </c>
      <c r="D413" s="106" t="s">
        <v>11</v>
      </c>
      <c r="E413" s="179" t="s">
        <v>23</v>
      </c>
      <c r="F413" s="179" t="s">
        <v>1187</v>
      </c>
      <c r="G413" s="179" t="s">
        <v>1188</v>
      </c>
      <c r="H413" s="191" t="n">
        <v>1</v>
      </c>
      <c r="I413" s="106" t="s">
        <v>601</v>
      </c>
    </row>
    <row r="414" customFormat="false" ht="15" hidden="false" customHeight="false" outlineLevel="0" collapsed="false">
      <c r="A414" s="102" t="s">
        <v>1611</v>
      </c>
      <c r="B414" s="102" t="s">
        <v>444</v>
      </c>
      <c r="C414" s="177" t="s">
        <v>445</v>
      </c>
      <c r="D414" s="102" t="s">
        <v>11</v>
      </c>
      <c r="E414" s="177" t="s">
        <v>23</v>
      </c>
      <c r="F414" s="177" t="s">
        <v>1199</v>
      </c>
      <c r="G414" s="177" t="s">
        <v>1188</v>
      </c>
      <c r="H414" s="190" t="n">
        <v>0.75</v>
      </c>
      <c r="I414" s="102" t="s">
        <v>1217</v>
      </c>
    </row>
    <row r="415" customFormat="false" ht="15" hidden="false" customHeight="false" outlineLevel="0" collapsed="false">
      <c r="A415" s="106" t="s">
        <v>1612</v>
      </c>
      <c r="B415" s="106" t="s">
        <v>444</v>
      </c>
      <c r="C415" s="179" t="s">
        <v>445</v>
      </c>
      <c r="D415" s="106" t="s">
        <v>11</v>
      </c>
      <c r="E415" s="179" t="s">
        <v>23</v>
      </c>
      <c r="F415" s="179" t="s">
        <v>1208</v>
      </c>
      <c r="G415" s="179" t="s">
        <v>1209</v>
      </c>
      <c r="H415" s="191" t="n">
        <v>1</v>
      </c>
      <c r="I415" s="106" t="s">
        <v>601</v>
      </c>
    </row>
    <row r="416" customFormat="false" ht="15" hidden="false" customHeight="false" outlineLevel="0" collapsed="false">
      <c r="A416" s="102" t="s">
        <v>1613</v>
      </c>
      <c r="B416" s="102" t="s">
        <v>444</v>
      </c>
      <c r="C416" s="177" t="s">
        <v>445</v>
      </c>
      <c r="D416" s="102" t="s">
        <v>11</v>
      </c>
      <c r="E416" s="177" t="s">
        <v>23</v>
      </c>
      <c r="F416" s="177" t="s">
        <v>1182</v>
      </c>
      <c r="G416" s="177" t="s">
        <v>1183</v>
      </c>
      <c r="H416" s="190" t="n">
        <v>1</v>
      </c>
      <c r="I416" s="102" t="s">
        <v>601</v>
      </c>
    </row>
    <row r="417" customFormat="false" ht="15" hidden="false" customHeight="false" outlineLevel="0" collapsed="false">
      <c r="A417" s="106" t="s">
        <v>1614</v>
      </c>
      <c r="B417" s="106" t="s">
        <v>444</v>
      </c>
      <c r="C417" s="179" t="s">
        <v>445</v>
      </c>
      <c r="D417" s="106" t="s">
        <v>11</v>
      </c>
      <c r="E417" s="179" t="s">
        <v>23</v>
      </c>
      <c r="F417" s="179" t="s">
        <v>1201</v>
      </c>
      <c r="G417" s="179" t="s">
        <v>20</v>
      </c>
      <c r="H417" s="191" t="n">
        <v>1</v>
      </c>
      <c r="I417" s="106" t="s">
        <v>601</v>
      </c>
    </row>
    <row r="418" customFormat="false" ht="15" hidden="false" customHeight="false" outlineLevel="0" collapsed="false">
      <c r="A418" s="102" t="s">
        <v>1615</v>
      </c>
      <c r="B418" s="102" t="s">
        <v>444</v>
      </c>
      <c r="C418" s="177" t="s">
        <v>445</v>
      </c>
      <c r="D418" s="102" t="s">
        <v>11</v>
      </c>
      <c r="E418" s="177" t="s">
        <v>23</v>
      </c>
      <c r="F418" s="177" t="s">
        <v>1195</v>
      </c>
      <c r="G418" s="177" t="s">
        <v>1196</v>
      </c>
      <c r="H418" s="190" t="n">
        <v>1</v>
      </c>
      <c r="I418" s="102" t="s">
        <v>601</v>
      </c>
    </row>
    <row r="419" customFormat="false" ht="15" hidden="false" customHeight="false" outlineLevel="0" collapsed="false">
      <c r="A419" s="106" t="s">
        <v>1616</v>
      </c>
      <c r="B419" s="106" t="s">
        <v>444</v>
      </c>
      <c r="C419" s="179" t="s">
        <v>445</v>
      </c>
      <c r="D419" s="106" t="s">
        <v>11</v>
      </c>
      <c r="E419" s="179" t="s">
        <v>23</v>
      </c>
      <c r="F419" s="179" t="s">
        <v>1192</v>
      </c>
      <c r="G419" s="179" t="s">
        <v>1193</v>
      </c>
      <c r="H419" s="191" t="n">
        <v>1</v>
      </c>
      <c r="I419" s="106" t="s">
        <v>601</v>
      </c>
    </row>
    <row r="420" customFormat="false" ht="15" hidden="false" customHeight="false" outlineLevel="0" collapsed="false">
      <c r="A420" s="102" t="s">
        <v>1617</v>
      </c>
      <c r="B420" s="102" t="s">
        <v>446</v>
      </c>
      <c r="C420" s="177" t="s">
        <v>134</v>
      </c>
      <c r="D420" s="102" t="s">
        <v>11</v>
      </c>
      <c r="E420" s="177" t="s">
        <v>23</v>
      </c>
      <c r="F420" s="177" t="s">
        <v>1187</v>
      </c>
      <c r="G420" s="177" t="s">
        <v>1188</v>
      </c>
      <c r="H420" s="190" t="n">
        <v>0.5</v>
      </c>
      <c r="I420" s="102" t="s">
        <v>1217</v>
      </c>
    </row>
    <row r="421" customFormat="false" ht="15" hidden="false" customHeight="false" outlineLevel="0" collapsed="false">
      <c r="A421" s="106" t="s">
        <v>1618</v>
      </c>
      <c r="B421" s="106" t="s">
        <v>446</v>
      </c>
      <c r="C421" s="179" t="s">
        <v>134</v>
      </c>
      <c r="D421" s="106" t="s">
        <v>11</v>
      </c>
      <c r="E421" s="179" t="s">
        <v>23</v>
      </c>
      <c r="F421" s="179" t="s">
        <v>1199</v>
      </c>
      <c r="G421" s="179" t="s">
        <v>1188</v>
      </c>
      <c r="H421" s="191" t="n">
        <v>1</v>
      </c>
      <c r="I421" s="106" t="s">
        <v>601</v>
      </c>
    </row>
    <row r="422" customFormat="false" ht="15" hidden="false" customHeight="false" outlineLevel="0" collapsed="false">
      <c r="A422" s="102" t="s">
        <v>1619</v>
      </c>
      <c r="B422" s="102" t="s">
        <v>446</v>
      </c>
      <c r="C422" s="177" t="s">
        <v>134</v>
      </c>
      <c r="D422" s="102" t="s">
        <v>11</v>
      </c>
      <c r="E422" s="177" t="s">
        <v>23</v>
      </c>
      <c r="F422" s="177" t="s">
        <v>1208</v>
      </c>
      <c r="G422" s="177" t="s">
        <v>1209</v>
      </c>
      <c r="H422" s="190" t="n">
        <v>1</v>
      </c>
      <c r="I422" s="102" t="s">
        <v>601</v>
      </c>
    </row>
    <row r="423" customFormat="false" ht="15" hidden="false" customHeight="false" outlineLevel="0" collapsed="false">
      <c r="A423" s="106" t="s">
        <v>1620</v>
      </c>
      <c r="B423" s="106" t="s">
        <v>446</v>
      </c>
      <c r="C423" s="179" t="s">
        <v>134</v>
      </c>
      <c r="D423" s="106" t="s">
        <v>11</v>
      </c>
      <c r="E423" s="179" t="s">
        <v>23</v>
      </c>
      <c r="F423" s="179" t="s">
        <v>1192</v>
      </c>
      <c r="G423" s="179" t="s">
        <v>1193</v>
      </c>
      <c r="H423" s="191" t="n">
        <v>1</v>
      </c>
      <c r="I423" s="106" t="s">
        <v>601</v>
      </c>
    </row>
    <row r="424" customFormat="false" ht="15" hidden="false" customHeight="false" outlineLevel="0" collapsed="false">
      <c r="A424" s="102" t="s">
        <v>1621</v>
      </c>
      <c r="B424" s="102" t="s">
        <v>446</v>
      </c>
      <c r="C424" s="177" t="s">
        <v>134</v>
      </c>
      <c r="D424" s="102" t="s">
        <v>11</v>
      </c>
      <c r="E424" s="177" t="s">
        <v>23</v>
      </c>
      <c r="F424" s="177" t="s">
        <v>1182</v>
      </c>
      <c r="G424" s="177" t="s">
        <v>1183</v>
      </c>
      <c r="H424" s="190" t="n">
        <v>1</v>
      </c>
      <c r="I424" s="102" t="s">
        <v>601</v>
      </c>
    </row>
    <row r="425" customFormat="false" ht="15" hidden="false" customHeight="false" outlineLevel="0" collapsed="false">
      <c r="A425" s="106" t="s">
        <v>1622</v>
      </c>
      <c r="B425" s="106" t="s">
        <v>446</v>
      </c>
      <c r="C425" s="179" t="s">
        <v>134</v>
      </c>
      <c r="D425" s="106" t="s">
        <v>11</v>
      </c>
      <c r="E425" s="179" t="s">
        <v>23</v>
      </c>
      <c r="F425" s="179" t="s">
        <v>1204</v>
      </c>
      <c r="G425" s="179" t="s">
        <v>1205</v>
      </c>
      <c r="H425" s="191" t="n">
        <v>1</v>
      </c>
      <c r="I425" s="106" t="s">
        <v>601</v>
      </c>
    </row>
    <row r="426" customFormat="false" ht="15" hidden="false" customHeight="false" outlineLevel="0" collapsed="false">
      <c r="A426" s="102" t="s">
        <v>1623</v>
      </c>
      <c r="B426" s="102" t="s">
        <v>446</v>
      </c>
      <c r="C426" s="177" t="s">
        <v>134</v>
      </c>
      <c r="D426" s="102" t="s">
        <v>11</v>
      </c>
      <c r="E426" s="177" t="s">
        <v>23</v>
      </c>
      <c r="F426" s="177" t="s">
        <v>1201</v>
      </c>
      <c r="G426" s="177" t="s">
        <v>20</v>
      </c>
      <c r="H426" s="190" t="n">
        <v>1</v>
      </c>
      <c r="I426" s="102" t="s">
        <v>601</v>
      </c>
    </row>
    <row r="427" customFormat="false" ht="15" hidden="false" customHeight="false" outlineLevel="0" collapsed="false">
      <c r="A427" s="106" t="s">
        <v>1624</v>
      </c>
      <c r="B427" s="106" t="s">
        <v>447</v>
      </c>
      <c r="C427" s="179" t="s">
        <v>448</v>
      </c>
      <c r="D427" s="106" t="s">
        <v>11</v>
      </c>
      <c r="E427" s="179" t="s">
        <v>23</v>
      </c>
      <c r="F427" s="179" t="s">
        <v>1187</v>
      </c>
      <c r="G427" s="179" t="s">
        <v>1188</v>
      </c>
      <c r="H427" s="191" t="n">
        <v>0.75</v>
      </c>
      <c r="I427" s="106" t="s">
        <v>1217</v>
      </c>
    </row>
    <row r="428" customFormat="false" ht="15" hidden="false" customHeight="false" outlineLevel="0" collapsed="false">
      <c r="A428" s="102" t="s">
        <v>1625</v>
      </c>
      <c r="B428" s="102" t="s">
        <v>447</v>
      </c>
      <c r="C428" s="177" t="s">
        <v>448</v>
      </c>
      <c r="D428" s="102" t="s">
        <v>11</v>
      </c>
      <c r="E428" s="177" t="s">
        <v>23</v>
      </c>
      <c r="F428" s="177" t="s">
        <v>1199</v>
      </c>
      <c r="G428" s="177" t="s">
        <v>1188</v>
      </c>
      <c r="H428" s="190" t="n">
        <v>0.25</v>
      </c>
      <c r="I428" s="102" t="s">
        <v>1222</v>
      </c>
    </row>
    <row r="429" customFormat="false" ht="15" hidden="false" customHeight="false" outlineLevel="0" collapsed="false">
      <c r="A429" s="106" t="s">
        <v>1626</v>
      </c>
      <c r="B429" s="106" t="s">
        <v>447</v>
      </c>
      <c r="C429" s="179" t="s">
        <v>448</v>
      </c>
      <c r="D429" s="106" t="s">
        <v>11</v>
      </c>
      <c r="E429" s="179" t="s">
        <v>23</v>
      </c>
      <c r="F429" s="179" t="s">
        <v>1208</v>
      </c>
      <c r="G429" s="179" t="s">
        <v>1209</v>
      </c>
      <c r="H429" s="191" t="n">
        <v>1</v>
      </c>
      <c r="I429" s="106" t="s">
        <v>601</v>
      </c>
    </row>
    <row r="430" customFormat="false" ht="15" hidden="false" customHeight="false" outlineLevel="0" collapsed="false">
      <c r="A430" s="102" t="s">
        <v>1627</v>
      </c>
      <c r="B430" s="102" t="s">
        <v>447</v>
      </c>
      <c r="C430" s="177" t="s">
        <v>448</v>
      </c>
      <c r="D430" s="102" t="s">
        <v>11</v>
      </c>
      <c r="E430" s="177" t="s">
        <v>23</v>
      </c>
      <c r="F430" s="177" t="s">
        <v>1195</v>
      </c>
      <c r="G430" s="177" t="s">
        <v>1196</v>
      </c>
      <c r="H430" s="190" t="n">
        <v>0</v>
      </c>
      <c r="I430" s="102" t="s">
        <v>1222</v>
      </c>
    </row>
    <row r="431" customFormat="false" ht="15" hidden="false" customHeight="false" outlineLevel="0" collapsed="false">
      <c r="A431" s="106" t="s">
        <v>1628</v>
      </c>
      <c r="B431" s="106" t="s">
        <v>447</v>
      </c>
      <c r="C431" s="179" t="s">
        <v>448</v>
      </c>
      <c r="D431" s="106" t="s">
        <v>11</v>
      </c>
      <c r="E431" s="179" t="s">
        <v>23</v>
      </c>
      <c r="F431" s="179" t="s">
        <v>1182</v>
      </c>
      <c r="G431" s="179" t="s">
        <v>1183</v>
      </c>
      <c r="H431" s="191" t="n">
        <v>1</v>
      </c>
      <c r="I431" s="106" t="s">
        <v>601</v>
      </c>
    </row>
    <row r="432" customFormat="false" ht="15" hidden="false" customHeight="false" outlineLevel="0" collapsed="false">
      <c r="A432" s="102" t="s">
        <v>1629</v>
      </c>
      <c r="B432" s="102" t="s">
        <v>158</v>
      </c>
      <c r="C432" s="177" t="s">
        <v>128</v>
      </c>
      <c r="D432" s="102" t="s">
        <v>11</v>
      </c>
      <c r="E432" s="177" t="s">
        <v>24</v>
      </c>
      <c r="F432" s="177" t="s">
        <v>1187</v>
      </c>
      <c r="G432" s="177" t="s">
        <v>1188</v>
      </c>
      <c r="H432" s="190" t="n">
        <v>1</v>
      </c>
      <c r="I432" s="102" t="s">
        <v>601</v>
      </c>
    </row>
    <row r="433" customFormat="false" ht="15" hidden="false" customHeight="false" outlineLevel="0" collapsed="false">
      <c r="A433" s="106" t="s">
        <v>1630</v>
      </c>
      <c r="B433" s="106" t="s">
        <v>158</v>
      </c>
      <c r="C433" s="179" t="s">
        <v>128</v>
      </c>
      <c r="D433" s="106" t="s">
        <v>11</v>
      </c>
      <c r="E433" s="179" t="s">
        <v>24</v>
      </c>
      <c r="F433" s="179" t="s">
        <v>1199</v>
      </c>
      <c r="G433" s="179" t="s">
        <v>1188</v>
      </c>
      <c r="H433" s="191" t="n">
        <v>0.5</v>
      </c>
      <c r="I433" s="106" t="s">
        <v>1217</v>
      </c>
    </row>
    <row r="434" customFormat="false" ht="15" hidden="false" customHeight="false" outlineLevel="0" collapsed="false">
      <c r="A434" s="102" t="s">
        <v>1631</v>
      </c>
      <c r="B434" s="102" t="s">
        <v>158</v>
      </c>
      <c r="C434" s="177" t="s">
        <v>128</v>
      </c>
      <c r="D434" s="102" t="s">
        <v>11</v>
      </c>
      <c r="E434" s="177" t="s">
        <v>24</v>
      </c>
      <c r="F434" s="177" t="s">
        <v>1208</v>
      </c>
      <c r="G434" s="177" t="s">
        <v>1209</v>
      </c>
      <c r="H434" s="190" t="n">
        <v>1</v>
      </c>
      <c r="I434" s="102" t="s">
        <v>601</v>
      </c>
    </row>
    <row r="435" customFormat="false" ht="15" hidden="false" customHeight="false" outlineLevel="0" collapsed="false">
      <c r="A435" s="106" t="s">
        <v>1632</v>
      </c>
      <c r="B435" s="106" t="s">
        <v>158</v>
      </c>
      <c r="C435" s="179" t="s">
        <v>128</v>
      </c>
      <c r="D435" s="106" t="s">
        <v>11</v>
      </c>
      <c r="E435" s="179" t="s">
        <v>24</v>
      </c>
      <c r="F435" s="179" t="s">
        <v>1192</v>
      </c>
      <c r="G435" s="179" t="s">
        <v>1193</v>
      </c>
      <c r="H435" s="191" t="n">
        <v>0.25</v>
      </c>
      <c r="I435" s="106" t="s">
        <v>1222</v>
      </c>
    </row>
    <row r="436" customFormat="false" ht="15" hidden="false" customHeight="false" outlineLevel="0" collapsed="false">
      <c r="A436" s="102" t="s">
        <v>1633</v>
      </c>
      <c r="B436" s="102" t="s">
        <v>158</v>
      </c>
      <c r="C436" s="177" t="s">
        <v>128</v>
      </c>
      <c r="D436" s="102" t="s">
        <v>11</v>
      </c>
      <c r="E436" s="177" t="s">
        <v>24</v>
      </c>
      <c r="F436" s="177" t="s">
        <v>1204</v>
      </c>
      <c r="G436" s="177" t="s">
        <v>1205</v>
      </c>
      <c r="H436" s="190" t="n">
        <v>1</v>
      </c>
      <c r="I436" s="102" t="s">
        <v>601</v>
      </c>
    </row>
    <row r="437" customFormat="false" ht="15" hidden="false" customHeight="false" outlineLevel="0" collapsed="false">
      <c r="A437" s="106" t="s">
        <v>1634</v>
      </c>
      <c r="B437" s="106" t="s">
        <v>159</v>
      </c>
      <c r="C437" s="179" t="s">
        <v>160</v>
      </c>
      <c r="D437" s="106" t="s">
        <v>11</v>
      </c>
      <c r="E437" s="179" t="s">
        <v>24</v>
      </c>
      <c r="F437" s="179" t="s">
        <v>1187</v>
      </c>
      <c r="G437" s="179" t="s">
        <v>1188</v>
      </c>
      <c r="H437" s="191" t="n">
        <v>0.5</v>
      </c>
      <c r="I437" s="106" t="s">
        <v>1217</v>
      </c>
    </row>
    <row r="438" customFormat="false" ht="15" hidden="false" customHeight="false" outlineLevel="0" collapsed="false">
      <c r="A438" s="102" t="s">
        <v>1635</v>
      </c>
      <c r="B438" s="102" t="s">
        <v>159</v>
      </c>
      <c r="C438" s="177" t="s">
        <v>160</v>
      </c>
      <c r="D438" s="102" t="s">
        <v>11</v>
      </c>
      <c r="E438" s="177" t="s">
        <v>24</v>
      </c>
      <c r="F438" s="177" t="s">
        <v>1199</v>
      </c>
      <c r="G438" s="177" t="s">
        <v>1188</v>
      </c>
      <c r="H438" s="190" t="n">
        <v>0.5</v>
      </c>
      <c r="I438" s="102" t="s">
        <v>1217</v>
      </c>
    </row>
    <row r="439" customFormat="false" ht="15" hidden="false" customHeight="false" outlineLevel="0" collapsed="false">
      <c r="A439" s="106" t="s">
        <v>1636</v>
      </c>
      <c r="B439" s="106" t="s">
        <v>159</v>
      </c>
      <c r="C439" s="179" t="s">
        <v>160</v>
      </c>
      <c r="D439" s="106" t="s">
        <v>11</v>
      </c>
      <c r="E439" s="179" t="s">
        <v>24</v>
      </c>
      <c r="F439" s="179" t="s">
        <v>1208</v>
      </c>
      <c r="G439" s="179" t="s">
        <v>1209</v>
      </c>
      <c r="H439" s="191" t="n">
        <v>0</v>
      </c>
      <c r="I439" s="106" t="s">
        <v>1222</v>
      </c>
    </row>
    <row r="440" customFormat="false" ht="15" hidden="false" customHeight="false" outlineLevel="0" collapsed="false">
      <c r="A440" s="102" t="s">
        <v>1637</v>
      </c>
      <c r="B440" s="102" t="s">
        <v>159</v>
      </c>
      <c r="C440" s="177" t="s">
        <v>160</v>
      </c>
      <c r="D440" s="102" t="s">
        <v>11</v>
      </c>
      <c r="E440" s="177" t="s">
        <v>24</v>
      </c>
      <c r="F440" s="177" t="s">
        <v>1195</v>
      </c>
      <c r="G440" s="177" t="s">
        <v>1196</v>
      </c>
      <c r="H440" s="190" t="n">
        <v>1</v>
      </c>
      <c r="I440" s="102" t="s">
        <v>601</v>
      </c>
    </row>
    <row r="441" customFormat="false" ht="15" hidden="false" customHeight="false" outlineLevel="0" collapsed="false">
      <c r="A441" s="106" t="s">
        <v>1638</v>
      </c>
      <c r="B441" s="106" t="s">
        <v>159</v>
      </c>
      <c r="C441" s="179" t="s">
        <v>160</v>
      </c>
      <c r="D441" s="106" t="s">
        <v>11</v>
      </c>
      <c r="E441" s="179" t="s">
        <v>24</v>
      </c>
      <c r="F441" s="179" t="s">
        <v>1192</v>
      </c>
      <c r="G441" s="179" t="s">
        <v>1193</v>
      </c>
      <c r="H441" s="191" t="n">
        <v>1</v>
      </c>
      <c r="I441" s="106" t="s">
        <v>601</v>
      </c>
    </row>
    <row r="442" customFormat="false" ht="15" hidden="false" customHeight="false" outlineLevel="0" collapsed="false">
      <c r="A442" s="102" t="s">
        <v>1639</v>
      </c>
      <c r="B442" s="102" t="s">
        <v>159</v>
      </c>
      <c r="C442" s="177" t="s">
        <v>160</v>
      </c>
      <c r="D442" s="102" t="s">
        <v>11</v>
      </c>
      <c r="E442" s="177" t="s">
        <v>24</v>
      </c>
      <c r="F442" s="177" t="s">
        <v>1204</v>
      </c>
      <c r="G442" s="177" t="s">
        <v>1205</v>
      </c>
      <c r="H442" s="190" t="n">
        <v>1</v>
      </c>
      <c r="I442" s="102" t="s">
        <v>601</v>
      </c>
    </row>
    <row r="443" customFormat="false" ht="15" hidden="false" customHeight="false" outlineLevel="0" collapsed="false">
      <c r="A443" s="106" t="s">
        <v>1640</v>
      </c>
      <c r="B443" s="106" t="s">
        <v>159</v>
      </c>
      <c r="C443" s="179" t="s">
        <v>160</v>
      </c>
      <c r="D443" s="106" t="s">
        <v>11</v>
      </c>
      <c r="E443" s="179" t="s">
        <v>24</v>
      </c>
      <c r="F443" s="179" t="s">
        <v>1182</v>
      </c>
      <c r="G443" s="179" t="s">
        <v>1183</v>
      </c>
      <c r="H443" s="191" t="n">
        <v>1</v>
      </c>
      <c r="I443" s="106" t="s">
        <v>601</v>
      </c>
    </row>
    <row r="444" customFormat="false" ht="15" hidden="false" customHeight="false" outlineLevel="0" collapsed="false">
      <c r="A444" s="102" t="s">
        <v>1641</v>
      </c>
      <c r="B444" s="102" t="s">
        <v>452</v>
      </c>
      <c r="C444" s="177" t="s">
        <v>453</v>
      </c>
      <c r="D444" s="102" t="s">
        <v>11</v>
      </c>
      <c r="E444" s="177" t="s">
        <v>24</v>
      </c>
      <c r="F444" s="177" t="s">
        <v>1187</v>
      </c>
      <c r="G444" s="177" t="s">
        <v>1188</v>
      </c>
      <c r="H444" s="190" t="n">
        <v>1</v>
      </c>
      <c r="I444" s="102" t="s">
        <v>601</v>
      </c>
    </row>
    <row r="445" customFormat="false" ht="15" hidden="false" customHeight="false" outlineLevel="0" collapsed="false">
      <c r="A445" s="106" t="s">
        <v>1642</v>
      </c>
      <c r="B445" s="106" t="s">
        <v>452</v>
      </c>
      <c r="C445" s="179" t="s">
        <v>453</v>
      </c>
      <c r="D445" s="106" t="s">
        <v>11</v>
      </c>
      <c r="E445" s="179" t="s">
        <v>24</v>
      </c>
      <c r="F445" s="179" t="s">
        <v>1199</v>
      </c>
      <c r="G445" s="179" t="s">
        <v>1188</v>
      </c>
      <c r="H445" s="191" t="n">
        <v>0.25</v>
      </c>
      <c r="I445" s="106" t="s">
        <v>1222</v>
      </c>
    </row>
    <row r="446" customFormat="false" ht="15" hidden="false" customHeight="false" outlineLevel="0" collapsed="false">
      <c r="A446" s="102" t="s">
        <v>1643</v>
      </c>
      <c r="B446" s="102" t="s">
        <v>452</v>
      </c>
      <c r="C446" s="177" t="s">
        <v>453</v>
      </c>
      <c r="D446" s="102" t="s">
        <v>11</v>
      </c>
      <c r="E446" s="177" t="s">
        <v>24</v>
      </c>
      <c r="F446" s="177" t="s">
        <v>1208</v>
      </c>
      <c r="G446" s="177" t="s">
        <v>1209</v>
      </c>
      <c r="H446" s="190" t="n">
        <v>1</v>
      </c>
      <c r="I446" s="102" t="s">
        <v>601</v>
      </c>
    </row>
    <row r="447" customFormat="false" ht="15" hidden="false" customHeight="false" outlineLevel="0" collapsed="false">
      <c r="A447" s="106" t="s">
        <v>1644</v>
      </c>
      <c r="B447" s="106" t="s">
        <v>452</v>
      </c>
      <c r="C447" s="179" t="s">
        <v>453</v>
      </c>
      <c r="D447" s="106" t="s">
        <v>11</v>
      </c>
      <c r="E447" s="179" t="s">
        <v>24</v>
      </c>
      <c r="F447" s="179" t="s">
        <v>1192</v>
      </c>
      <c r="G447" s="179" t="s">
        <v>1193</v>
      </c>
      <c r="H447" s="191" t="n">
        <v>1</v>
      </c>
      <c r="I447" s="106" t="s">
        <v>601</v>
      </c>
    </row>
    <row r="448" customFormat="false" ht="15" hidden="false" customHeight="false" outlineLevel="0" collapsed="false">
      <c r="A448" s="102" t="s">
        <v>1645</v>
      </c>
      <c r="B448" s="102" t="s">
        <v>452</v>
      </c>
      <c r="C448" s="177" t="s">
        <v>453</v>
      </c>
      <c r="D448" s="102" t="s">
        <v>11</v>
      </c>
      <c r="E448" s="177" t="s">
        <v>24</v>
      </c>
      <c r="F448" s="177" t="s">
        <v>1182</v>
      </c>
      <c r="G448" s="177" t="s">
        <v>1183</v>
      </c>
      <c r="H448" s="190" t="n">
        <v>0.75</v>
      </c>
      <c r="I448" s="102" t="s">
        <v>1217</v>
      </c>
    </row>
    <row r="449" customFormat="false" ht="15" hidden="false" customHeight="false" outlineLevel="0" collapsed="false">
      <c r="A449" s="106" t="s">
        <v>1646</v>
      </c>
      <c r="B449" s="106" t="s">
        <v>452</v>
      </c>
      <c r="C449" s="179" t="s">
        <v>453</v>
      </c>
      <c r="D449" s="106" t="s">
        <v>11</v>
      </c>
      <c r="E449" s="179" t="s">
        <v>24</v>
      </c>
      <c r="F449" s="179" t="s">
        <v>1195</v>
      </c>
      <c r="G449" s="179" t="s">
        <v>1196</v>
      </c>
      <c r="H449" s="191" t="n">
        <v>0.25</v>
      </c>
      <c r="I449" s="106" t="s">
        <v>1222</v>
      </c>
    </row>
    <row r="450" customFormat="false" ht="15" hidden="false" customHeight="false" outlineLevel="0" collapsed="false">
      <c r="A450" s="102" t="s">
        <v>1647</v>
      </c>
      <c r="B450" s="102" t="s">
        <v>452</v>
      </c>
      <c r="C450" s="177" t="s">
        <v>453</v>
      </c>
      <c r="D450" s="102" t="s">
        <v>11</v>
      </c>
      <c r="E450" s="177" t="s">
        <v>24</v>
      </c>
      <c r="F450" s="177" t="s">
        <v>1204</v>
      </c>
      <c r="G450" s="177" t="s">
        <v>1205</v>
      </c>
      <c r="H450" s="190" t="n">
        <v>0.5</v>
      </c>
      <c r="I450" s="102" t="s">
        <v>1217</v>
      </c>
    </row>
    <row r="451" customFormat="false" ht="15" hidden="false" customHeight="false" outlineLevel="0" collapsed="false">
      <c r="A451" s="106" t="s">
        <v>1648</v>
      </c>
      <c r="B451" s="106" t="s">
        <v>454</v>
      </c>
      <c r="C451" s="179" t="s">
        <v>455</v>
      </c>
      <c r="D451" s="106" t="s">
        <v>11</v>
      </c>
      <c r="E451" s="179" t="s">
        <v>24</v>
      </c>
      <c r="F451" s="179" t="s">
        <v>1187</v>
      </c>
      <c r="G451" s="179" t="s">
        <v>1188</v>
      </c>
      <c r="H451" s="191" t="n">
        <v>1</v>
      </c>
      <c r="I451" s="106" t="s">
        <v>601</v>
      </c>
    </row>
    <row r="452" customFormat="false" ht="15" hidden="false" customHeight="false" outlineLevel="0" collapsed="false">
      <c r="A452" s="102" t="s">
        <v>1649</v>
      </c>
      <c r="B452" s="102" t="s">
        <v>454</v>
      </c>
      <c r="C452" s="177" t="s">
        <v>455</v>
      </c>
      <c r="D452" s="102" t="s">
        <v>11</v>
      </c>
      <c r="E452" s="177" t="s">
        <v>24</v>
      </c>
      <c r="F452" s="177" t="s">
        <v>1199</v>
      </c>
      <c r="G452" s="177" t="s">
        <v>1188</v>
      </c>
      <c r="H452" s="190" t="n">
        <v>0.25</v>
      </c>
      <c r="I452" s="102" t="s">
        <v>1222</v>
      </c>
    </row>
    <row r="453" customFormat="false" ht="15" hidden="false" customHeight="false" outlineLevel="0" collapsed="false">
      <c r="A453" s="106" t="s">
        <v>1650</v>
      </c>
      <c r="B453" s="106" t="s">
        <v>454</v>
      </c>
      <c r="C453" s="179" t="s">
        <v>455</v>
      </c>
      <c r="D453" s="106" t="s">
        <v>11</v>
      </c>
      <c r="E453" s="179" t="s">
        <v>24</v>
      </c>
      <c r="F453" s="179" t="s">
        <v>1208</v>
      </c>
      <c r="G453" s="179" t="s">
        <v>1209</v>
      </c>
      <c r="H453" s="191" t="n">
        <v>0.75</v>
      </c>
      <c r="I453" s="106" t="s">
        <v>1217</v>
      </c>
    </row>
    <row r="454" customFormat="false" ht="15" hidden="false" customHeight="false" outlineLevel="0" collapsed="false">
      <c r="A454" s="102" t="s">
        <v>1651</v>
      </c>
      <c r="B454" s="102" t="s">
        <v>454</v>
      </c>
      <c r="C454" s="177" t="s">
        <v>455</v>
      </c>
      <c r="D454" s="102" t="s">
        <v>11</v>
      </c>
      <c r="E454" s="177" t="s">
        <v>24</v>
      </c>
      <c r="F454" s="177" t="s">
        <v>1182</v>
      </c>
      <c r="G454" s="177" t="s">
        <v>1183</v>
      </c>
      <c r="H454" s="190" t="n">
        <v>0.5</v>
      </c>
      <c r="I454" s="102" t="s">
        <v>1217</v>
      </c>
    </row>
    <row r="455" customFormat="false" ht="15" hidden="false" customHeight="false" outlineLevel="0" collapsed="false">
      <c r="A455" s="106" t="s">
        <v>1652</v>
      </c>
      <c r="B455" s="106" t="s">
        <v>454</v>
      </c>
      <c r="C455" s="179" t="s">
        <v>455</v>
      </c>
      <c r="D455" s="106" t="s">
        <v>11</v>
      </c>
      <c r="E455" s="179" t="s">
        <v>24</v>
      </c>
      <c r="F455" s="179" t="s">
        <v>1204</v>
      </c>
      <c r="G455" s="179" t="s">
        <v>1205</v>
      </c>
      <c r="H455" s="191" t="n">
        <v>0.5</v>
      </c>
      <c r="I455" s="106" t="s">
        <v>1217</v>
      </c>
    </row>
    <row r="456" customFormat="false" ht="15" hidden="false" customHeight="false" outlineLevel="0" collapsed="false">
      <c r="A456" s="102" t="s">
        <v>1653</v>
      </c>
      <c r="B456" s="102" t="s">
        <v>454</v>
      </c>
      <c r="C456" s="177" t="s">
        <v>455</v>
      </c>
      <c r="D456" s="102" t="s">
        <v>11</v>
      </c>
      <c r="E456" s="177" t="s">
        <v>24</v>
      </c>
      <c r="F456" s="177" t="s">
        <v>1201</v>
      </c>
      <c r="G456" s="177" t="s">
        <v>20</v>
      </c>
      <c r="H456" s="190" t="n">
        <v>0</v>
      </c>
      <c r="I456" s="102" t="s">
        <v>1222</v>
      </c>
    </row>
    <row r="457" customFormat="false" ht="15" hidden="false" customHeight="false" outlineLevel="0" collapsed="false">
      <c r="A457" s="106" t="s">
        <v>1654</v>
      </c>
      <c r="B457" s="106" t="s">
        <v>456</v>
      </c>
      <c r="C457" s="179" t="s">
        <v>69</v>
      </c>
      <c r="D457" s="106" t="s">
        <v>11</v>
      </c>
      <c r="E457" s="179" t="s">
        <v>24</v>
      </c>
      <c r="F457" s="179" t="s">
        <v>1187</v>
      </c>
      <c r="G457" s="179" t="s">
        <v>1188</v>
      </c>
      <c r="H457" s="191" t="n">
        <v>1</v>
      </c>
      <c r="I457" s="106" t="s">
        <v>601</v>
      </c>
    </row>
    <row r="458" customFormat="false" ht="15" hidden="false" customHeight="false" outlineLevel="0" collapsed="false">
      <c r="A458" s="102" t="s">
        <v>1655</v>
      </c>
      <c r="B458" s="102" t="s">
        <v>456</v>
      </c>
      <c r="C458" s="177" t="s">
        <v>69</v>
      </c>
      <c r="D458" s="102" t="s">
        <v>11</v>
      </c>
      <c r="E458" s="177" t="s">
        <v>24</v>
      </c>
      <c r="F458" s="177" t="s">
        <v>1199</v>
      </c>
      <c r="G458" s="177" t="s">
        <v>1188</v>
      </c>
      <c r="H458" s="190" t="n">
        <v>1</v>
      </c>
      <c r="I458" s="102" t="s">
        <v>601</v>
      </c>
    </row>
    <row r="459" customFormat="false" ht="15" hidden="false" customHeight="false" outlineLevel="0" collapsed="false">
      <c r="A459" s="106" t="s">
        <v>1656</v>
      </c>
      <c r="B459" s="106" t="s">
        <v>456</v>
      </c>
      <c r="C459" s="179" t="s">
        <v>69</v>
      </c>
      <c r="D459" s="106" t="s">
        <v>11</v>
      </c>
      <c r="E459" s="179" t="s">
        <v>24</v>
      </c>
      <c r="F459" s="179" t="s">
        <v>1208</v>
      </c>
      <c r="G459" s="179" t="s">
        <v>1209</v>
      </c>
      <c r="H459" s="191" t="n">
        <v>1</v>
      </c>
      <c r="I459" s="106" t="s">
        <v>601</v>
      </c>
    </row>
    <row r="460" customFormat="false" ht="15" hidden="false" customHeight="false" outlineLevel="0" collapsed="false">
      <c r="A460" s="102" t="s">
        <v>1657</v>
      </c>
      <c r="B460" s="102" t="s">
        <v>456</v>
      </c>
      <c r="C460" s="177" t="s">
        <v>69</v>
      </c>
      <c r="D460" s="102" t="s">
        <v>11</v>
      </c>
      <c r="E460" s="177" t="s">
        <v>24</v>
      </c>
      <c r="F460" s="177" t="s">
        <v>1201</v>
      </c>
      <c r="G460" s="177" t="s">
        <v>20</v>
      </c>
      <c r="H460" s="190" t="n">
        <v>0.25</v>
      </c>
      <c r="I460" s="102" t="s">
        <v>1222</v>
      </c>
    </row>
    <row r="461" customFormat="false" ht="15" hidden="false" customHeight="false" outlineLevel="0" collapsed="false">
      <c r="A461" s="106" t="s">
        <v>1658</v>
      </c>
      <c r="B461" s="106" t="s">
        <v>456</v>
      </c>
      <c r="C461" s="179" t="s">
        <v>69</v>
      </c>
      <c r="D461" s="106" t="s">
        <v>11</v>
      </c>
      <c r="E461" s="179" t="s">
        <v>24</v>
      </c>
      <c r="F461" s="179" t="s">
        <v>1182</v>
      </c>
      <c r="G461" s="179" t="s">
        <v>1183</v>
      </c>
      <c r="H461" s="191" t="n">
        <v>0.75</v>
      </c>
      <c r="I461" s="106" t="s">
        <v>1217</v>
      </c>
    </row>
    <row r="462" customFormat="false" ht="15" hidden="false" customHeight="false" outlineLevel="0" collapsed="false">
      <c r="A462" s="102" t="s">
        <v>1659</v>
      </c>
      <c r="B462" s="102" t="s">
        <v>456</v>
      </c>
      <c r="C462" s="177" t="s">
        <v>69</v>
      </c>
      <c r="D462" s="102" t="s">
        <v>11</v>
      </c>
      <c r="E462" s="177" t="s">
        <v>24</v>
      </c>
      <c r="F462" s="177" t="s">
        <v>1192</v>
      </c>
      <c r="G462" s="177" t="s">
        <v>1193</v>
      </c>
      <c r="H462" s="190" t="n">
        <v>0</v>
      </c>
      <c r="I462" s="102" t="s">
        <v>1222</v>
      </c>
    </row>
    <row r="463" customFormat="false" ht="15" hidden="false" customHeight="false" outlineLevel="0" collapsed="false">
      <c r="A463" s="106" t="s">
        <v>1660</v>
      </c>
      <c r="B463" s="106" t="s">
        <v>458</v>
      </c>
      <c r="C463" s="179" t="s">
        <v>459</v>
      </c>
      <c r="D463" s="106" t="s">
        <v>11</v>
      </c>
      <c r="E463" s="179" t="s">
        <v>24</v>
      </c>
      <c r="F463" s="179" t="s">
        <v>1187</v>
      </c>
      <c r="G463" s="179" t="s">
        <v>1188</v>
      </c>
      <c r="H463" s="191" t="n">
        <v>1</v>
      </c>
      <c r="I463" s="106" t="s">
        <v>601</v>
      </c>
    </row>
    <row r="464" customFormat="false" ht="15" hidden="false" customHeight="false" outlineLevel="0" collapsed="false">
      <c r="A464" s="102" t="s">
        <v>1661</v>
      </c>
      <c r="B464" s="102" t="s">
        <v>458</v>
      </c>
      <c r="C464" s="177" t="s">
        <v>459</v>
      </c>
      <c r="D464" s="102" t="s">
        <v>11</v>
      </c>
      <c r="E464" s="177" t="s">
        <v>24</v>
      </c>
      <c r="F464" s="177" t="s">
        <v>1199</v>
      </c>
      <c r="G464" s="177" t="s">
        <v>1188</v>
      </c>
      <c r="H464" s="190" t="n">
        <v>1</v>
      </c>
      <c r="I464" s="102" t="s">
        <v>601</v>
      </c>
    </row>
    <row r="465" customFormat="false" ht="15" hidden="false" customHeight="false" outlineLevel="0" collapsed="false">
      <c r="A465" s="106" t="s">
        <v>1662</v>
      </c>
      <c r="B465" s="106" t="s">
        <v>458</v>
      </c>
      <c r="C465" s="179" t="s">
        <v>459</v>
      </c>
      <c r="D465" s="106" t="s">
        <v>11</v>
      </c>
      <c r="E465" s="179" t="s">
        <v>24</v>
      </c>
      <c r="F465" s="179" t="s">
        <v>1208</v>
      </c>
      <c r="G465" s="179" t="s">
        <v>1209</v>
      </c>
      <c r="H465" s="191" t="n">
        <v>1</v>
      </c>
      <c r="I465" s="106" t="s">
        <v>601</v>
      </c>
    </row>
    <row r="466" customFormat="false" ht="15" hidden="false" customHeight="false" outlineLevel="0" collapsed="false">
      <c r="A466" s="102" t="s">
        <v>1663</v>
      </c>
      <c r="B466" s="102" t="s">
        <v>458</v>
      </c>
      <c r="C466" s="177" t="s">
        <v>459</v>
      </c>
      <c r="D466" s="102" t="s">
        <v>11</v>
      </c>
      <c r="E466" s="177" t="s">
        <v>24</v>
      </c>
      <c r="F466" s="177" t="s">
        <v>1195</v>
      </c>
      <c r="G466" s="177" t="s">
        <v>1196</v>
      </c>
      <c r="H466" s="190" t="n">
        <v>1</v>
      </c>
      <c r="I466" s="102" t="s">
        <v>601</v>
      </c>
    </row>
    <row r="467" customFormat="false" ht="15" hidden="false" customHeight="false" outlineLevel="0" collapsed="false">
      <c r="A467" s="106" t="s">
        <v>1664</v>
      </c>
      <c r="B467" s="106" t="s">
        <v>458</v>
      </c>
      <c r="C467" s="179" t="s">
        <v>459</v>
      </c>
      <c r="D467" s="106" t="s">
        <v>11</v>
      </c>
      <c r="E467" s="179" t="s">
        <v>24</v>
      </c>
      <c r="F467" s="179" t="s">
        <v>1192</v>
      </c>
      <c r="G467" s="179" t="s">
        <v>1193</v>
      </c>
      <c r="H467" s="191" t="n">
        <v>1</v>
      </c>
      <c r="I467" s="106" t="s">
        <v>601</v>
      </c>
    </row>
    <row r="468" customFormat="false" ht="15" hidden="false" customHeight="false" outlineLevel="0" collapsed="false">
      <c r="A468" s="102" t="s">
        <v>1665</v>
      </c>
      <c r="B468" s="102" t="s">
        <v>458</v>
      </c>
      <c r="C468" s="177" t="s">
        <v>459</v>
      </c>
      <c r="D468" s="102" t="s">
        <v>11</v>
      </c>
      <c r="E468" s="177" t="s">
        <v>24</v>
      </c>
      <c r="F468" s="177" t="s">
        <v>1204</v>
      </c>
      <c r="G468" s="177" t="s">
        <v>1205</v>
      </c>
      <c r="H468" s="190" t="n">
        <v>1</v>
      </c>
      <c r="I468" s="102" t="s">
        <v>601</v>
      </c>
    </row>
    <row r="469" customFormat="false" ht="15" hidden="false" customHeight="false" outlineLevel="0" collapsed="false">
      <c r="A469" s="106" t="s">
        <v>1666</v>
      </c>
      <c r="B469" s="106" t="s">
        <v>458</v>
      </c>
      <c r="C469" s="179" t="s">
        <v>459</v>
      </c>
      <c r="D469" s="106" t="s">
        <v>11</v>
      </c>
      <c r="E469" s="179" t="s">
        <v>24</v>
      </c>
      <c r="F469" s="179" t="s">
        <v>1201</v>
      </c>
      <c r="G469" s="179" t="s">
        <v>20</v>
      </c>
      <c r="H469" s="191" t="n">
        <v>0.75</v>
      </c>
      <c r="I469" s="106" t="s">
        <v>1217</v>
      </c>
    </row>
    <row r="470" customFormat="false" ht="15" hidden="false" customHeight="false" outlineLevel="0" collapsed="false">
      <c r="A470" s="102" t="s">
        <v>1667</v>
      </c>
      <c r="B470" s="102" t="s">
        <v>460</v>
      </c>
      <c r="C470" s="177" t="s">
        <v>461</v>
      </c>
      <c r="D470" s="102" t="s">
        <v>11</v>
      </c>
      <c r="E470" s="177" t="s">
        <v>24</v>
      </c>
      <c r="F470" s="177" t="s">
        <v>1187</v>
      </c>
      <c r="G470" s="177" t="s">
        <v>1188</v>
      </c>
      <c r="H470" s="190" t="n">
        <v>1</v>
      </c>
      <c r="I470" s="102" t="s">
        <v>601</v>
      </c>
    </row>
    <row r="471" customFormat="false" ht="15" hidden="false" customHeight="false" outlineLevel="0" collapsed="false">
      <c r="A471" s="106" t="s">
        <v>1668</v>
      </c>
      <c r="B471" s="106" t="s">
        <v>460</v>
      </c>
      <c r="C471" s="179" t="s">
        <v>461</v>
      </c>
      <c r="D471" s="106" t="s">
        <v>11</v>
      </c>
      <c r="E471" s="179" t="s">
        <v>24</v>
      </c>
      <c r="F471" s="179" t="s">
        <v>1199</v>
      </c>
      <c r="G471" s="179" t="s">
        <v>1188</v>
      </c>
      <c r="H471" s="191" t="n">
        <v>1</v>
      </c>
      <c r="I471" s="106" t="s">
        <v>601</v>
      </c>
    </row>
    <row r="472" customFormat="false" ht="15" hidden="false" customHeight="false" outlineLevel="0" collapsed="false">
      <c r="A472" s="102" t="s">
        <v>1669</v>
      </c>
      <c r="B472" s="102" t="s">
        <v>460</v>
      </c>
      <c r="C472" s="177" t="s">
        <v>461</v>
      </c>
      <c r="D472" s="102" t="s">
        <v>11</v>
      </c>
      <c r="E472" s="177" t="s">
        <v>24</v>
      </c>
      <c r="F472" s="177" t="s">
        <v>1208</v>
      </c>
      <c r="G472" s="177" t="s">
        <v>1209</v>
      </c>
      <c r="H472" s="190" t="n">
        <v>0.5</v>
      </c>
      <c r="I472" s="102" t="s">
        <v>1217</v>
      </c>
    </row>
    <row r="473" customFormat="false" ht="15" hidden="false" customHeight="false" outlineLevel="0" collapsed="false">
      <c r="A473" s="106" t="s">
        <v>1670</v>
      </c>
      <c r="B473" s="106" t="s">
        <v>460</v>
      </c>
      <c r="C473" s="179" t="s">
        <v>461</v>
      </c>
      <c r="D473" s="106" t="s">
        <v>11</v>
      </c>
      <c r="E473" s="179" t="s">
        <v>24</v>
      </c>
      <c r="F473" s="179" t="s">
        <v>1204</v>
      </c>
      <c r="G473" s="179" t="s">
        <v>1205</v>
      </c>
      <c r="H473" s="191" t="n">
        <v>1</v>
      </c>
      <c r="I473" s="106" t="s">
        <v>601</v>
      </c>
    </row>
    <row r="474" customFormat="false" ht="15" hidden="false" customHeight="false" outlineLevel="0" collapsed="false">
      <c r="A474" s="102" t="s">
        <v>1671</v>
      </c>
      <c r="B474" s="102" t="s">
        <v>460</v>
      </c>
      <c r="C474" s="177" t="s">
        <v>461</v>
      </c>
      <c r="D474" s="102" t="s">
        <v>11</v>
      </c>
      <c r="E474" s="177" t="s">
        <v>24</v>
      </c>
      <c r="F474" s="177" t="s">
        <v>1201</v>
      </c>
      <c r="G474" s="177" t="s">
        <v>20</v>
      </c>
      <c r="H474" s="190" t="n">
        <v>1</v>
      </c>
      <c r="I474" s="102" t="s">
        <v>601</v>
      </c>
    </row>
    <row r="475" customFormat="false" ht="15" hidden="false" customHeight="false" outlineLevel="0" collapsed="false">
      <c r="A475" s="106" t="s">
        <v>1672</v>
      </c>
      <c r="B475" s="106" t="s">
        <v>460</v>
      </c>
      <c r="C475" s="179" t="s">
        <v>461</v>
      </c>
      <c r="D475" s="106" t="s">
        <v>11</v>
      </c>
      <c r="E475" s="179" t="s">
        <v>24</v>
      </c>
      <c r="F475" s="179" t="s">
        <v>1195</v>
      </c>
      <c r="G475" s="179" t="s">
        <v>1196</v>
      </c>
      <c r="H475" s="191" t="n">
        <v>1</v>
      </c>
      <c r="I475" s="106" t="s">
        <v>601</v>
      </c>
    </row>
    <row r="476" customFormat="false" ht="15" hidden="false" customHeight="false" outlineLevel="0" collapsed="false">
      <c r="A476" s="102" t="s">
        <v>1673</v>
      </c>
      <c r="B476" s="102" t="s">
        <v>460</v>
      </c>
      <c r="C476" s="177" t="s">
        <v>461</v>
      </c>
      <c r="D476" s="102" t="s">
        <v>11</v>
      </c>
      <c r="E476" s="177" t="s">
        <v>24</v>
      </c>
      <c r="F476" s="177" t="s">
        <v>1182</v>
      </c>
      <c r="G476" s="177" t="s">
        <v>1183</v>
      </c>
      <c r="H476" s="190" t="n">
        <v>1</v>
      </c>
      <c r="I476" s="102" t="s">
        <v>601</v>
      </c>
    </row>
    <row r="477" customFormat="false" ht="15" hidden="false" customHeight="false" outlineLevel="0" collapsed="false">
      <c r="A477" s="106" t="s">
        <v>1674</v>
      </c>
      <c r="B477" s="106" t="s">
        <v>463</v>
      </c>
      <c r="C477" s="179" t="s">
        <v>464</v>
      </c>
      <c r="D477" s="106" t="s">
        <v>11</v>
      </c>
      <c r="E477" s="179" t="s">
        <v>24</v>
      </c>
      <c r="F477" s="179" t="s">
        <v>1187</v>
      </c>
      <c r="G477" s="179" t="s">
        <v>1188</v>
      </c>
      <c r="H477" s="191" t="n">
        <v>0</v>
      </c>
      <c r="I477" s="106" t="s">
        <v>1222</v>
      </c>
    </row>
    <row r="478" customFormat="false" ht="15" hidden="false" customHeight="false" outlineLevel="0" collapsed="false">
      <c r="A478" s="102" t="s">
        <v>1675</v>
      </c>
      <c r="B478" s="102" t="s">
        <v>463</v>
      </c>
      <c r="C478" s="177" t="s">
        <v>464</v>
      </c>
      <c r="D478" s="102" t="s">
        <v>11</v>
      </c>
      <c r="E478" s="177" t="s">
        <v>24</v>
      </c>
      <c r="F478" s="177" t="s">
        <v>1199</v>
      </c>
      <c r="G478" s="177" t="s">
        <v>1188</v>
      </c>
      <c r="H478" s="190" t="n">
        <v>1</v>
      </c>
      <c r="I478" s="102" t="s">
        <v>601</v>
      </c>
    </row>
    <row r="479" customFormat="false" ht="15" hidden="false" customHeight="false" outlineLevel="0" collapsed="false">
      <c r="A479" s="106" t="s">
        <v>1676</v>
      </c>
      <c r="B479" s="106" t="s">
        <v>463</v>
      </c>
      <c r="C479" s="179" t="s">
        <v>464</v>
      </c>
      <c r="D479" s="106" t="s">
        <v>11</v>
      </c>
      <c r="E479" s="179" t="s">
        <v>24</v>
      </c>
      <c r="F479" s="179" t="s">
        <v>1208</v>
      </c>
      <c r="G479" s="179" t="s">
        <v>1209</v>
      </c>
      <c r="H479" s="191" t="n">
        <v>0.25</v>
      </c>
      <c r="I479" s="106" t="s">
        <v>1222</v>
      </c>
    </row>
    <row r="480" customFormat="false" ht="15" hidden="false" customHeight="false" outlineLevel="0" collapsed="false">
      <c r="A480" s="102" t="s">
        <v>1677</v>
      </c>
      <c r="B480" s="102" t="s">
        <v>463</v>
      </c>
      <c r="C480" s="177" t="s">
        <v>464</v>
      </c>
      <c r="D480" s="102" t="s">
        <v>11</v>
      </c>
      <c r="E480" s="177" t="s">
        <v>24</v>
      </c>
      <c r="F480" s="177" t="s">
        <v>1182</v>
      </c>
      <c r="G480" s="177" t="s">
        <v>1183</v>
      </c>
      <c r="H480" s="190" t="n">
        <v>1</v>
      </c>
      <c r="I480" s="102" t="s">
        <v>601</v>
      </c>
    </row>
    <row r="481" customFormat="false" ht="15" hidden="false" customHeight="false" outlineLevel="0" collapsed="false">
      <c r="A481" s="106" t="s">
        <v>1678</v>
      </c>
      <c r="B481" s="106" t="s">
        <v>463</v>
      </c>
      <c r="C481" s="179" t="s">
        <v>464</v>
      </c>
      <c r="D481" s="106" t="s">
        <v>11</v>
      </c>
      <c r="E481" s="179" t="s">
        <v>24</v>
      </c>
      <c r="F481" s="179" t="s">
        <v>1192</v>
      </c>
      <c r="G481" s="179" t="s">
        <v>1193</v>
      </c>
      <c r="H481" s="191" t="n">
        <v>0.75</v>
      </c>
      <c r="I481" s="106" t="s">
        <v>1217</v>
      </c>
    </row>
    <row r="482" customFormat="false" ht="15" hidden="false" customHeight="false" outlineLevel="0" collapsed="false">
      <c r="A482" s="102" t="s">
        <v>1679</v>
      </c>
      <c r="B482" s="102" t="s">
        <v>463</v>
      </c>
      <c r="C482" s="177" t="s">
        <v>464</v>
      </c>
      <c r="D482" s="102" t="s">
        <v>11</v>
      </c>
      <c r="E482" s="177" t="s">
        <v>24</v>
      </c>
      <c r="F482" s="177" t="s">
        <v>1201</v>
      </c>
      <c r="G482" s="177" t="s">
        <v>20</v>
      </c>
      <c r="H482" s="190" t="n">
        <v>1</v>
      </c>
      <c r="I482" s="102" t="s">
        <v>601</v>
      </c>
    </row>
    <row r="483" customFormat="false" ht="15" hidden="false" customHeight="false" outlineLevel="0" collapsed="false">
      <c r="A483" s="106" t="s">
        <v>1680</v>
      </c>
      <c r="B483" s="106" t="s">
        <v>66</v>
      </c>
      <c r="C483" s="179" t="s">
        <v>67</v>
      </c>
      <c r="D483" s="106" t="s">
        <v>11</v>
      </c>
      <c r="E483" s="179" t="s">
        <v>25</v>
      </c>
      <c r="F483" s="179" t="s">
        <v>1187</v>
      </c>
      <c r="G483" s="179" t="s">
        <v>1188</v>
      </c>
      <c r="H483" s="191" t="n">
        <v>1</v>
      </c>
      <c r="I483" s="106" t="s">
        <v>601</v>
      </c>
    </row>
    <row r="484" customFormat="false" ht="15" hidden="false" customHeight="false" outlineLevel="0" collapsed="false">
      <c r="A484" s="102" t="s">
        <v>1681</v>
      </c>
      <c r="B484" s="102" t="s">
        <v>66</v>
      </c>
      <c r="C484" s="177" t="s">
        <v>67</v>
      </c>
      <c r="D484" s="102" t="s">
        <v>11</v>
      </c>
      <c r="E484" s="177" t="s">
        <v>25</v>
      </c>
      <c r="F484" s="177" t="s">
        <v>1199</v>
      </c>
      <c r="G484" s="177" t="s">
        <v>1188</v>
      </c>
      <c r="H484" s="190" t="n">
        <v>1</v>
      </c>
      <c r="I484" s="102" t="s">
        <v>601</v>
      </c>
    </row>
    <row r="485" customFormat="false" ht="15" hidden="false" customHeight="false" outlineLevel="0" collapsed="false">
      <c r="A485" s="106" t="s">
        <v>1682</v>
      </c>
      <c r="B485" s="106" t="s">
        <v>66</v>
      </c>
      <c r="C485" s="179" t="s">
        <v>67</v>
      </c>
      <c r="D485" s="106" t="s">
        <v>11</v>
      </c>
      <c r="E485" s="179" t="s">
        <v>25</v>
      </c>
      <c r="F485" s="179" t="s">
        <v>1208</v>
      </c>
      <c r="G485" s="179" t="s">
        <v>1209</v>
      </c>
      <c r="H485" s="191" t="n">
        <v>1</v>
      </c>
      <c r="I485" s="106" t="s">
        <v>601</v>
      </c>
    </row>
    <row r="486" customFormat="false" ht="15" hidden="false" customHeight="false" outlineLevel="0" collapsed="false">
      <c r="A486" s="102" t="s">
        <v>1683</v>
      </c>
      <c r="B486" s="102" t="s">
        <v>66</v>
      </c>
      <c r="C486" s="177" t="s">
        <v>67</v>
      </c>
      <c r="D486" s="102" t="s">
        <v>11</v>
      </c>
      <c r="E486" s="177" t="s">
        <v>25</v>
      </c>
      <c r="F486" s="177" t="s">
        <v>1201</v>
      </c>
      <c r="G486" s="177" t="s">
        <v>20</v>
      </c>
      <c r="H486" s="190" t="n">
        <v>0.75</v>
      </c>
      <c r="I486" s="102" t="s">
        <v>1217</v>
      </c>
    </row>
    <row r="487" customFormat="false" ht="15" hidden="false" customHeight="false" outlineLevel="0" collapsed="false">
      <c r="A487" s="106" t="s">
        <v>1684</v>
      </c>
      <c r="B487" s="106" t="s">
        <v>66</v>
      </c>
      <c r="C487" s="179" t="s">
        <v>67</v>
      </c>
      <c r="D487" s="106" t="s">
        <v>11</v>
      </c>
      <c r="E487" s="179" t="s">
        <v>25</v>
      </c>
      <c r="F487" s="179" t="s">
        <v>1182</v>
      </c>
      <c r="G487" s="179" t="s">
        <v>1183</v>
      </c>
      <c r="H487" s="191" t="n">
        <v>0.75</v>
      </c>
      <c r="I487" s="106" t="s">
        <v>1217</v>
      </c>
    </row>
    <row r="488" customFormat="false" ht="15" hidden="false" customHeight="false" outlineLevel="0" collapsed="false">
      <c r="A488" s="102" t="s">
        <v>1685</v>
      </c>
      <c r="B488" s="102" t="s">
        <v>66</v>
      </c>
      <c r="C488" s="177" t="s">
        <v>67</v>
      </c>
      <c r="D488" s="102" t="s">
        <v>11</v>
      </c>
      <c r="E488" s="177" t="s">
        <v>25</v>
      </c>
      <c r="F488" s="177" t="s">
        <v>1192</v>
      </c>
      <c r="G488" s="177" t="s">
        <v>1193</v>
      </c>
      <c r="H488" s="190" t="n">
        <v>1</v>
      </c>
      <c r="I488" s="102" t="s">
        <v>601</v>
      </c>
    </row>
    <row r="489" customFormat="false" ht="15" hidden="false" customHeight="false" outlineLevel="0" collapsed="false">
      <c r="A489" s="106" t="s">
        <v>1686</v>
      </c>
      <c r="B489" s="106" t="s">
        <v>88</v>
      </c>
      <c r="C489" s="179" t="s">
        <v>89</v>
      </c>
      <c r="D489" s="106" t="s">
        <v>11</v>
      </c>
      <c r="E489" s="179" t="s">
        <v>25</v>
      </c>
      <c r="F489" s="179" t="s">
        <v>1187</v>
      </c>
      <c r="G489" s="179" t="s">
        <v>1188</v>
      </c>
      <c r="H489" s="191" t="n">
        <v>1</v>
      </c>
      <c r="I489" s="106" t="s">
        <v>601</v>
      </c>
    </row>
    <row r="490" customFormat="false" ht="15" hidden="false" customHeight="false" outlineLevel="0" collapsed="false">
      <c r="A490" s="102" t="s">
        <v>1687</v>
      </c>
      <c r="B490" s="102" t="s">
        <v>88</v>
      </c>
      <c r="C490" s="177" t="s">
        <v>89</v>
      </c>
      <c r="D490" s="102" t="s">
        <v>11</v>
      </c>
      <c r="E490" s="177" t="s">
        <v>25</v>
      </c>
      <c r="F490" s="177" t="s">
        <v>1199</v>
      </c>
      <c r="G490" s="177" t="s">
        <v>1188</v>
      </c>
      <c r="H490" s="190" t="n">
        <v>1</v>
      </c>
      <c r="I490" s="102" t="s">
        <v>601</v>
      </c>
    </row>
    <row r="491" customFormat="false" ht="15" hidden="false" customHeight="false" outlineLevel="0" collapsed="false">
      <c r="A491" s="106" t="s">
        <v>1688</v>
      </c>
      <c r="B491" s="106" t="s">
        <v>88</v>
      </c>
      <c r="C491" s="179" t="s">
        <v>89</v>
      </c>
      <c r="D491" s="106" t="s">
        <v>11</v>
      </c>
      <c r="E491" s="179" t="s">
        <v>25</v>
      </c>
      <c r="F491" s="179" t="s">
        <v>1208</v>
      </c>
      <c r="G491" s="179" t="s">
        <v>1209</v>
      </c>
      <c r="H491" s="191" t="n">
        <v>1</v>
      </c>
      <c r="I491" s="106" t="s">
        <v>601</v>
      </c>
    </row>
    <row r="492" customFormat="false" ht="15" hidden="false" customHeight="false" outlineLevel="0" collapsed="false">
      <c r="A492" s="102" t="s">
        <v>1689</v>
      </c>
      <c r="B492" s="102" t="s">
        <v>88</v>
      </c>
      <c r="C492" s="177" t="s">
        <v>89</v>
      </c>
      <c r="D492" s="102" t="s">
        <v>11</v>
      </c>
      <c r="E492" s="177" t="s">
        <v>25</v>
      </c>
      <c r="F492" s="177" t="s">
        <v>1201</v>
      </c>
      <c r="G492" s="177" t="s">
        <v>20</v>
      </c>
      <c r="H492" s="190" t="n">
        <v>1</v>
      </c>
      <c r="I492" s="102" t="s">
        <v>601</v>
      </c>
    </row>
    <row r="493" customFormat="false" ht="15" hidden="false" customHeight="false" outlineLevel="0" collapsed="false">
      <c r="A493" s="106" t="s">
        <v>1690</v>
      </c>
      <c r="B493" s="106" t="s">
        <v>88</v>
      </c>
      <c r="C493" s="179" t="s">
        <v>89</v>
      </c>
      <c r="D493" s="106" t="s">
        <v>11</v>
      </c>
      <c r="E493" s="179" t="s">
        <v>25</v>
      </c>
      <c r="F493" s="179" t="s">
        <v>1192</v>
      </c>
      <c r="G493" s="179" t="s">
        <v>1193</v>
      </c>
      <c r="H493" s="191" t="n">
        <v>1</v>
      </c>
      <c r="I493" s="106" t="s">
        <v>601</v>
      </c>
    </row>
    <row r="494" customFormat="false" ht="15" hidden="false" customHeight="false" outlineLevel="0" collapsed="false">
      <c r="A494" s="102" t="s">
        <v>1691</v>
      </c>
      <c r="B494" s="102" t="s">
        <v>88</v>
      </c>
      <c r="C494" s="177" t="s">
        <v>89</v>
      </c>
      <c r="D494" s="102" t="s">
        <v>11</v>
      </c>
      <c r="E494" s="177" t="s">
        <v>25</v>
      </c>
      <c r="F494" s="177" t="s">
        <v>1204</v>
      </c>
      <c r="G494" s="177" t="s">
        <v>1205</v>
      </c>
      <c r="H494" s="190" t="n">
        <v>0.5</v>
      </c>
      <c r="I494" s="102" t="s">
        <v>1217</v>
      </c>
    </row>
    <row r="495" customFormat="false" ht="15" hidden="false" customHeight="false" outlineLevel="0" collapsed="false">
      <c r="A495" s="106" t="s">
        <v>1692</v>
      </c>
      <c r="B495" s="106" t="s">
        <v>467</v>
      </c>
      <c r="C495" s="179" t="s">
        <v>468</v>
      </c>
      <c r="D495" s="106" t="s">
        <v>11</v>
      </c>
      <c r="E495" s="179" t="s">
        <v>25</v>
      </c>
      <c r="F495" s="179" t="s">
        <v>1187</v>
      </c>
      <c r="G495" s="179" t="s">
        <v>1188</v>
      </c>
      <c r="H495" s="191" t="n">
        <v>0.75</v>
      </c>
      <c r="I495" s="106" t="s">
        <v>1217</v>
      </c>
    </row>
    <row r="496" customFormat="false" ht="15" hidden="false" customHeight="false" outlineLevel="0" collapsed="false">
      <c r="A496" s="102" t="s">
        <v>1693</v>
      </c>
      <c r="B496" s="102" t="s">
        <v>467</v>
      </c>
      <c r="C496" s="177" t="s">
        <v>468</v>
      </c>
      <c r="D496" s="102" t="s">
        <v>11</v>
      </c>
      <c r="E496" s="177" t="s">
        <v>25</v>
      </c>
      <c r="F496" s="177" t="s">
        <v>1199</v>
      </c>
      <c r="G496" s="177" t="s">
        <v>1188</v>
      </c>
      <c r="H496" s="190" t="n">
        <v>1</v>
      </c>
      <c r="I496" s="102" t="s">
        <v>601</v>
      </c>
    </row>
    <row r="497" customFormat="false" ht="15" hidden="false" customHeight="false" outlineLevel="0" collapsed="false">
      <c r="A497" s="106" t="s">
        <v>1694</v>
      </c>
      <c r="B497" s="106" t="s">
        <v>467</v>
      </c>
      <c r="C497" s="179" t="s">
        <v>468</v>
      </c>
      <c r="D497" s="106" t="s">
        <v>11</v>
      </c>
      <c r="E497" s="179" t="s">
        <v>25</v>
      </c>
      <c r="F497" s="179" t="s">
        <v>1208</v>
      </c>
      <c r="G497" s="179" t="s">
        <v>1209</v>
      </c>
      <c r="H497" s="191" t="n">
        <v>1</v>
      </c>
      <c r="I497" s="106" t="s">
        <v>601</v>
      </c>
    </row>
    <row r="498" customFormat="false" ht="15" hidden="false" customHeight="false" outlineLevel="0" collapsed="false">
      <c r="A498" s="102" t="s">
        <v>1695</v>
      </c>
      <c r="B498" s="102" t="s">
        <v>467</v>
      </c>
      <c r="C498" s="177" t="s">
        <v>468</v>
      </c>
      <c r="D498" s="102" t="s">
        <v>11</v>
      </c>
      <c r="E498" s="177" t="s">
        <v>25</v>
      </c>
      <c r="F498" s="177" t="s">
        <v>1192</v>
      </c>
      <c r="G498" s="177" t="s">
        <v>1193</v>
      </c>
      <c r="H498" s="190" t="n">
        <v>1</v>
      </c>
      <c r="I498" s="102" t="s">
        <v>601</v>
      </c>
    </row>
    <row r="499" customFormat="false" ht="15" hidden="false" customHeight="false" outlineLevel="0" collapsed="false">
      <c r="A499" s="106" t="s">
        <v>1696</v>
      </c>
      <c r="B499" s="106" t="s">
        <v>467</v>
      </c>
      <c r="C499" s="179" t="s">
        <v>468</v>
      </c>
      <c r="D499" s="106" t="s">
        <v>11</v>
      </c>
      <c r="E499" s="179" t="s">
        <v>25</v>
      </c>
      <c r="F499" s="179" t="s">
        <v>1204</v>
      </c>
      <c r="G499" s="179" t="s">
        <v>1205</v>
      </c>
      <c r="H499" s="191" t="n">
        <v>1</v>
      </c>
      <c r="I499" s="106" t="s">
        <v>601</v>
      </c>
    </row>
    <row r="500" customFormat="false" ht="15" hidden="false" customHeight="false" outlineLevel="0" collapsed="false">
      <c r="A500" s="102" t="s">
        <v>1697</v>
      </c>
      <c r="B500" s="102" t="s">
        <v>467</v>
      </c>
      <c r="C500" s="177" t="s">
        <v>468</v>
      </c>
      <c r="D500" s="102" t="s">
        <v>11</v>
      </c>
      <c r="E500" s="177" t="s">
        <v>25</v>
      </c>
      <c r="F500" s="177" t="s">
        <v>1201</v>
      </c>
      <c r="G500" s="177" t="s">
        <v>20</v>
      </c>
      <c r="H500" s="190" t="n">
        <v>1</v>
      </c>
      <c r="I500" s="102" t="s">
        <v>601</v>
      </c>
    </row>
    <row r="501" customFormat="false" ht="15" hidden="false" customHeight="false" outlineLevel="0" collapsed="false">
      <c r="A501" s="106" t="s">
        <v>1698</v>
      </c>
      <c r="B501" s="106" t="s">
        <v>467</v>
      </c>
      <c r="C501" s="179" t="s">
        <v>468</v>
      </c>
      <c r="D501" s="106" t="s">
        <v>11</v>
      </c>
      <c r="E501" s="179" t="s">
        <v>25</v>
      </c>
      <c r="F501" s="179" t="s">
        <v>1182</v>
      </c>
      <c r="G501" s="179" t="s">
        <v>1183</v>
      </c>
      <c r="H501" s="191" t="n">
        <v>0.25</v>
      </c>
      <c r="I501" s="106" t="s">
        <v>1222</v>
      </c>
    </row>
    <row r="502" customFormat="false" ht="15" hidden="false" customHeight="false" outlineLevel="0" collapsed="false">
      <c r="A502" s="102" t="s">
        <v>1699</v>
      </c>
      <c r="B502" s="102" t="s">
        <v>469</v>
      </c>
      <c r="C502" s="177" t="s">
        <v>470</v>
      </c>
      <c r="D502" s="102" t="s">
        <v>11</v>
      </c>
      <c r="E502" s="177" t="s">
        <v>25</v>
      </c>
      <c r="F502" s="177" t="s">
        <v>1187</v>
      </c>
      <c r="G502" s="177" t="s">
        <v>1188</v>
      </c>
      <c r="H502" s="190" t="n">
        <v>1</v>
      </c>
      <c r="I502" s="102" t="s">
        <v>601</v>
      </c>
    </row>
    <row r="503" customFormat="false" ht="15" hidden="false" customHeight="false" outlineLevel="0" collapsed="false">
      <c r="A503" s="106" t="s">
        <v>1700</v>
      </c>
      <c r="B503" s="106" t="s">
        <v>469</v>
      </c>
      <c r="C503" s="179" t="s">
        <v>470</v>
      </c>
      <c r="D503" s="106" t="s">
        <v>11</v>
      </c>
      <c r="E503" s="179" t="s">
        <v>25</v>
      </c>
      <c r="F503" s="179" t="s">
        <v>1199</v>
      </c>
      <c r="G503" s="179" t="s">
        <v>1188</v>
      </c>
      <c r="H503" s="191" t="n">
        <v>0</v>
      </c>
      <c r="I503" s="106" t="s">
        <v>1222</v>
      </c>
    </row>
    <row r="504" customFormat="false" ht="15" hidden="false" customHeight="false" outlineLevel="0" collapsed="false">
      <c r="A504" s="102" t="s">
        <v>1701</v>
      </c>
      <c r="B504" s="102" t="s">
        <v>469</v>
      </c>
      <c r="C504" s="177" t="s">
        <v>470</v>
      </c>
      <c r="D504" s="102" t="s">
        <v>11</v>
      </c>
      <c r="E504" s="177" t="s">
        <v>25</v>
      </c>
      <c r="F504" s="177" t="s">
        <v>1208</v>
      </c>
      <c r="G504" s="177" t="s">
        <v>1209</v>
      </c>
      <c r="H504" s="190" t="n">
        <v>0.25</v>
      </c>
      <c r="I504" s="102" t="s">
        <v>1222</v>
      </c>
    </row>
    <row r="505" customFormat="false" ht="15" hidden="false" customHeight="false" outlineLevel="0" collapsed="false">
      <c r="A505" s="106" t="s">
        <v>1702</v>
      </c>
      <c r="B505" s="106" t="s">
        <v>469</v>
      </c>
      <c r="C505" s="179" t="s">
        <v>470</v>
      </c>
      <c r="D505" s="106" t="s">
        <v>11</v>
      </c>
      <c r="E505" s="179" t="s">
        <v>25</v>
      </c>
      <c r="F505" s="179" t="s">
        <v>1182</v>
      </c>
      <c r="G505" s="179" t="s">
        <v>1183</v>
      </c>
      <c r="H505" s="191" t="n">
        <v>0.75</v>
      </c>
      <c r="I505" s="106" t="s">
        <v>1217</v>
      </c>
    </row>
    <row r="506" customFormat="false" ht="15" hidden="false" customHeight="false" outlineLevel="0" collapsed="false">
      <c r="A506" s="102" t="s">
        <v>1703</v>
      </c>
      <c r="B506" s="102" t="s">
        <v>469</v>
      </c>
      <c r="C506" s="177" t="s">
        <v>470</v>
      </c>
      <c r="D506" s="102" t="s">
        <v>11</v>
      </c>
      <c r="E506" s="177" t="s">
        <v>25</v>
      </c>
      <c r="F506" s="177" t="s">
        <v>1204</v>
      </c>
      <c r="G506" s="177" t="s">
        <v>1205</v>
      </c>
      <c r="H506" s="190" t="n">
        <v>1</v>
      </c>
      <c r="I506" s="102" t="s">
        <v>601</v>
      </c>
    </row>
    <row r="507" customFormat="false" ht="15" hidden="false" customHeight="false" outlineLevel="0" collapsed="false">
      <c r="A507" s="106" t="s">
        <v>1704</v>
      </c>
      <c r="B507" s="106" t="s">
        <v>472</v>
      </c>
      <c r="C507" s="179" t="s">
        <v>473</v>
      </c>
      <c r="D507" s="106" t="s">
        <v>11</v>
      </c>
      <c r="E507" s="179" t="s">
        <v>25</v>
      </c>
      <c r="F507" s="179" t="s">
        <v>1187</v>
      </c>
      <c r="G507" s="179" t="s">
        <v>1188</v>
      </c>
      <c r="H507" s="191" t="n">
        <v>1</v>
      </c>
      <c r="I507" s="106" t="s">
        <v>601</v>
      </c>
    </row>
    <row r="508" customFormat="false" ht="15" hidden="false" customHeight="false" outlineLevel="0" collapsed="false">
      <c r="A508" s="102" t="s">
        <v>1705</v>
      </c>
      <c r="B508" s="102" t="s">
        <v>472</v>
      </c>
      <c r="C508" s="177" t="s">
        <v>473</v>
      </c>
      <c r="D508" s="102" t="s">
        <v>11</v>
      </c>
      <c r="E508" s="177" t="s">
        <v>25</v>
      </c>
      <c r="F508" s="177" t="s">
        <v>1199</v>
      </c>
      <c r="G508" s="177" t="s">
        <v>1188</v>
      </c>
      <c r="H508" s="190" t="n">
        <v>1</v>
      </c>
      <c r="I508" s="102" t="s">
        <v>601</v>
      </c>
    </row>
    <row r="509" customFormat="false" ht="15" hidden="false" customHeight="false" outlineLevel="0" collapsed="false">
      <c r="A509" s="106" t="s">
        <v>1706</v>
      </c>
      <c r="B509" s="106" t="s">
        <v>472</v>
      </c>
      <c r="C509" s="179" t="s">
        <v>473</v>
      </c>
      <c r="D509" s="106" t="s">
        <v>11</v>
      </c>
      <c r="E509" s="179" t="s">
        <v>25</v>
      </c>
      <c r="F509" s="179" t="s">
        <v>1208</v>
      </c>
      <c r="G509" s="179" t="s">
        <v>1209</v>
      </c>
      <c r="H509" s="191" t="n">
        <v>1</v>
      </c>
      <c r="I509" s="106" t="s">
        <v>601</v>
      </c>
    </row>
    <row r="510" customFormat="false" ht="15" hidden="false" customHeight="false" outlineLevel="0" collapsed="false">
      <c r="A510" s="102" t="s">
        <v>1707</v>
      </c>
      <c r="B510" s="102" t="s">
        <v>472</v>
      </c>
      <c r="C510" s="177" t="s">
        <v>473</v>
      </c>
      <c r="D510" s="102" t="s">
        <v>11</v>
      </c>
      <c r="E510" s="177" t="s">
        <v>25</v>
      </c>
      <c r="F510" s="177" t="s">
        <v>1192</v>
      </c>
      <c r="G510" s="177" t="s">
        <v>1193</v>
      </c>
      <c r="H510" s="190" t="n">
        <v>1</v>
      </c>
      <c r="I510" s="102" t="s">
        <v>601</v>
      </c>
    </row>
    <row r="511" customFormat="false" ht="15" hidden="false" customHeight="false" outlineLevel="0" collapsed="false">
      <c r="A511" s="106" t="s">
        <v>1708</v>
      </c>
      <c r="B511" s="106" t="s">
        <v>472</v>
      </c>
      <c r="C511" s="179" t="s">
        <v>473</v>
      </c>
      <c r="D511" s="106" t="s">
        <v>11</v>
      </c>
      <c r="E511" s="179" t="s">
        <v>25</v>
      </c>
      <c r="F511" s="179" t="s">
        <v>1201</v>
      </c>
      <c r="G511" s="179" t="s">
        <v>20</v>
      </c>
      <c r="H511" s="191" t="n">
        <v>0.75</v>
      </c>
      <c r="I511" s="106" t="s">
        <v>1217</v>
      </c>
    </row>
    <row r="512" customFormat="false" ht="15" hidden="false" customHeight="false" outlineLevel="0" collapsed="false">
      <c r="A512" s="102" t="s">
        <v>1709</v>
      </c>
      <c r="B512" s="102" t="s">
        <v>472</v>
      </c>
      <c r="C512" s="177" t="s">
        <v>473</v>
      </c>
      <c r="D512" s="102" t="s">
        <v>11</v>
      </c>
      <c r="E512" s="177" t="s">
        <v>25</v>
      </c>
      <c r="F512" s="177" t="s">
        <v>1182</v>
      </c>
      <c r="G512" s="177" t="s">
        <v>1183</v>
      </c>
      <c r="H512" s="190" t="n">
        <v>0.75</v>
      </c>
      <c r="I512" s="102" t="s">
        <v>1217</v>
      </c>
    </row>
    <row r="513" customFormat="false" ht="15" hidden="false" customHeight="false" outlineLevel="0" collapsed="false">
      <c r="A513" s="106" t="s">
        <v>1710</v>
      </c>
      <c r="B513" s="106" t="s">
        <v>472</v>
      </c>
      <c r="C513" s="179" t="s">
        <v>473</v>
      </c>
      <c r="D513" s="106" t="s">
        <v>11</v>
      </c>
      <c r="E513" s="179" t="s">
        <v>25</v>
      </c>
      <c r="F513" s="179" t="s">
        <v>1195</v>
      </c>
      <c r="G513" s="179" t="s">
        <v>1196</v>
      </c>
      <c r="H513" s="191" t="n">
        <v>1</v>
      </c>
      <c r="I513" s="106" t="s">
        <v>601</v>
      </c>
    </row>
    <row r="514" customFormat="false" ht="15" hidden="false" customHeight="false" outlineLevel="0" collapsed="false">
      <c r="A514" s="102" t="s">
        <v>1711</v>
      </c>
      <c r="B514" s="102" t="s">
        <v>474</v>
      </c>
      <c r="C514" s="177" t="s">
        <v>475</v>
      </c>
      <c r="D514" s="102" t="s">
        <v>11</v>
      </c>
      <c r="E514" s="177" t="s">
        <v>25</v>
      </c>
      <c r="F514" s="177" t="s">
        <v>1187</v>
      </c>
      <c r="G514" s="177" t="s">
        <v>1188</v>
      </c>
      <c r="H514" s="190" t="n">
        <v>1</v>
      </c>
      <c r="I514" s="102" t="s">
        <v>601</v>
      </c>
    </row>
    <row r="515" customFormat="false" ht="15" hidden="false" customHeight="false" outlineLevel="0" collapsed="false">
      <c r="A515" s="106" t="s">
        <v>1712</v>
      </c>
      <c r="B515" s="106" t="s">
        <v>474</v>
      </c>
      <c r="C515" s="179" t="s">
        <v>475</v>
      </c>
      <c r="D515" s="106" t="s">
        <v>11</v>
      </c>
      <c r="E515" s="179" t="s">
        <v>25</v>
      </c>
      <c r="F515" s="179" t="s">
        <v>1199</v>
      </c>
      <c r="G515" s="179" t="s">
        <v>1188</v>
      </c>
      <c r="H515" s="191" t="n">
        <v>1</v>
      </c>
      <c r="I515" s="106" t="s">
        <v>601</v>
      </c>
    </row>
    <row r="516" customFormat="false" ht="15" hidden="false" customHeight="false" outlineLevel="0" collapsed="false">
      <c r="A516" s="102" t="s">
        <v>1713</v>
      </c>
      <c r="B516" s="102" t="s">
        <v>474</v>
      </c>
      <c r="C516" s="177" t="s">
        <v>475</v>
      </c>
      <c r="D516" s="102" t="s">
        <v>11</v>
      </c>
      <c r="E516" s="177" t="s">
        <v>25</v>
      </c>
      <c r="F516" s="177" t="s">
        <v>1208</v>
      </c>
      <c r="G516" s="177" t="s">
        <v>1209</v>
      </c>
      <c r="H516" s="190" t="n">
        <v>0.5</v>
      </c>
      <c r="I516" s="102" t="s">
        <v>1217</v>
      </c>
    </row>
    <row r="517" customFormat="false" ht="15" hidden="false" customHeight="false" outlineLevel="0" collapsed="false">
      <c r="A517" s="106" t="s">
        <v>1714</v>
      </c>
      <c r="B517" s="106" t="s">
        <v>474</v>
      </c>
      <c r="C517" s="179" t="s">
        <v>475</v>
      </c>
      <c r="D517" s="106" t="s">
        <v>11</v>
      </c>
      <c r="E517" s="179" t="s">
        <v>25</v>
      </c>
      <c r="F517" s="179" t="s">
        <v>1195</v>
      </c>
      <c r="G517" s="179" t="s">
        <v>1196</v>
      </c>
      <c r="H517" s="191" t="n">
        <v>1</v>
      </c>
      <c r="I517" s="106" t="s">
        <v>601</v>
      </c>
    </row>
    <row r="518" customFormat="false" ht="15" hidden="false" customHeight="false" outlineLevel="0" collapsed="false">
      <c r="A518" s="102" t="s">
        <v>1715</v>
      </c>
      <c r="B518" s="102" t="s">
        <v>474</v>
      </c>
      <c r="C518" s="177" t="s">
        <v>475</v>
      </c>
      <c r="D518" s="102" t="s">
        <v>11</v>
      </c>
      <c r="E518" s="177" t="s">
        <v>25</v>
      </c>
      <c r="F518" s="177" t="s">
        <v>1192</v>
      </c>
      <c r="G518" s="177" t="s">
        <v>1193</v>
      </c>
      <c r="H518" s="190" t="n">
        <v>1</v>
      </c>
      <c r="I518" s="102" t="s">
        <v>601</v>
      </c>
    </row>
    <row r="519" customFormat="false" ht="15" hidden="false" customHeight="false" outlineLevel="0" collapsed="false">
      <c r="A519" s="106" t="s">
        <v>1716</v>
      </c>
      <c r="B519" s="106" t="s">
        <v>474</v>
      </c>
      <c r="C519" s="179" t="s">
        <v>475</v>
      </c>
      <c r="D519" s="106" t="s">
        <v>11</v>
      </c>
      <c r="E519" s="179" t="s">
        <v>25</v>
      </c>
      <c r="F519" s="179" t="s">
        <v>1182</v>
      </c>
      <c r="G519" s="179" t="s">
        <v>1183</v>
      </c>
      <c r="H519" s="191" t="n">
        <v>1</v>
      </c>
      <c r="I519" s="106" t="s">
        <v>601</v>
      </c>
    </row>
    <row r="520" customFormat="false" ht="15" hidden="false" customHeight="false" outlineLevel="0" collapsed="false">
      <c r="A520" s="102" t="s">
        <v>1717</v>
      </c>
      <c r="B520" s="102" t="s">
        <v>480</v>
      </c>
      <c r="C520" s="177" t="s">
        <v>481</v>
      </c>
      <c r="D520" s="102" t="s">
        <v>12</v>
      </c>
      <c r="E520" s="177" t="s">
        <v>15</v>
      </c>
      <c r="F520" s="177" t="s">
        <v>1187</v>
      </c>
      <c r="G520" s="177" t="s">
        <v>1188</v>
      </c>
      <c r="H520" s="190" t="n">
        <v>1</v>
      </c>
      <c r="I520" s="102" t="s">
        <v>601</v>
      </c>
    </row>
    <row r="521" customFormat="false" ht="15" hidden="false" customHeight="false" outlineLevel="0" collapsed="false">
      <c r="A521" s="106" t="s">
        <v>1718</v>
      </c>
      <c r="B521" s="106" t="s">
        <v>480</v>
      </c>
      <c r="C521" s="179" t="s">
        <v>481</v>
      </c>
      <c r="D521" s="106" t="s">
        <v>12</v>
      </c>
      <c r="E521" s="179" t="s">
        <v>15</v>
      </c>
      <c r="F521" s="179" t="s">
        <v>1199</v>
      </c>
      <c r="G521" s="179" t="s">
        <v>1188</v>
      </c>
      <c r="H521" s="191" t="n">
        <v>1</v>
      </c>
      <c r="I521" s="106" t="s">
        <v>601</v>
      </c>
    </row>
    <row r="522" customFormat="false" ht="15" hidden="false" customHeight="false" outlineLevel="0" collapsed="false">
      <c r="A522" s="102" t="s">
        <v>1719</v>
      </c>
      <c r="B522" s="102" t="s">
        <v>480</v>
      </c>
      <c r="C522" s="177" t="s">
        <v>481</v>
      </c>
      <c r="D522" s="102" t="s">
        <v>12</v>
      </c>
      <c r="E522" s="177" t="s">
        <v>15</v>
      </c>
      <c r="F522" s="177" t="s">
        <v>1208</v>
      </c>
      <c r="G522" s="177" t="s">
        <v>1209</v>
      </c>
      <c r="H522" s="190" t="n">
        <v>1</v>
      </c>
      <c r="I522" s="102" t="s">
        <v>601</v>
      </c>
    </row>
    <row r="523" customFormat="false" ht="15" hidden="false" customHeight="false" outlineLevel="0" collapsed="false">
      <c r="A523" s="106" t="s">
        <v>1720</v>
      </c>
      <c r="B523" s="106" t="s">
        <v>480</v>
      </c>
      <c r="C523" s="179" t="s">
        <v>481</v>
      </c>
      <c r="D523" s="106" t="s">
        <v>12</v>
      </c>
      <c r="E523" s="179" t="s">
        <v>15</v>
      </c>
      <c r="F523" s="179" t="s">
        <v>1204</v>
      </c>
      <c r="G523" s="179" t="s">
        <v>1205</v>
      </c>
      <c r="H523" s="191" t="n">
        <v>0</v>
      </c>
      <c r="I523" s="106" t="s">
        <v>1222</v>
      </c>
    </row>
    <row r="524" customFormat="false" ht="15" hidden="false" customHeight="false" outlineLevel="0" collapsed="false">
      <c r="A524" s="102" t="s">
        <v>1721</v>
      </c>
      <c r="B524" s="102" t="s">
        <v>480</v>
      </c>
      <c r="C524" s="177" t="s">
        <v>481</v>
      </c>
      <c r="D524" s="102" t="s">
        <v>12</v>
      </c>
      <c r="E524" s="177" t="s">
        <v>15</v>
      </c>
      <c r="F524" s="177" t="s">
        <v>1201</v>
      </c>
      <c r="G524" s="177" t="s">
        <v>20</v>
      </c>
      <c r="H524" s="190" t="n">
        <v>1</v>
      </c>
      <c r="I524" s="102" t="s">
        <v>601</v>
      </c>
    </row>
    <row r="525" customFormat="false" ht="15" hidden="false" customHeight="false" outlineLevel="0" collapsed="false">
      <c r="A525" s="106" t="s">
        <v>1722</v>
      </c>
      <c r="B525" s="106" t="s">
        <v>480</v>
      </c>
      <c r="C525" s="179" t="s">
        <v>481</v>
      </c>
      <c r="D525" s="106" t="s">
        <v>12</v>
      </c>
      <c r="E525" s="179" t="s">
        <v>15</v>
      </c>
      <c r="F525" s="179" t="s">
        <v>1182</v>
      </c>
      <c r="G525" s="179" t="s">
        <v>1183</v>
      </c>
      <c r="H525" s="191" t="n">
        <v>1</v>
      </c>
      <c r="I525" s="106" t="s">
        <v>601</v>
      </c>
    </row>
    <row r="526" customFormat="false" ht="15" hidden="false" customHeight="false" outlineLevel="0" collapsed="false">
      <c r="A526" s="102" t="s">
        <v>1723</v>
      </c>
      <c r="B526" s="102" t="s">
        <v>482</v>
      </c>
      <c r="C526" s="177" t="s">
        <v>122</v>
      </c>
      <c r="D526" s="102" t="s">
        <v>12</v>
      </c>
      <c r="E526" s="177" t="s">
        <v>16</v>
      </c>
      <c r="F526" s="177" t="s">
        <v>1187</v>
      </c>
      <c r="G526" s="177" t="s">
        <v>1188</v>
      </c>
      <c r="H526" s="190" t="n">
        <v>1</v>
      </c>
      <c r="I526" s="102" t="s">
        <v>601</v>
      </c>
    </row>
    <row r="527" customFormat="false" ht="15" hidden="false" customHeight="false" outlineLevel="0" collapsed="false">
      <c r="A527" s="106" t="s">
        <v>1724</v>
      </c>
      <c r="B527" s="106" t="s">
        <v>482</v>
      </c>
      <c r="C527" s="179" t="s">
        <v>122</v>
      </c>
      <c r="D527" s="106" t="s">
        <v>12</v>
      </c>
      <c r="E527" s="179" t="s">
        <v>16</v>
      </c>
      <c r="F527" s="179" t="s">
        <v>1199</v>
      </c>
      <c r="G527" s="179" t="s">
        <v>1188</v>
      </c>
      <c r="H527" s="191" t="n">
        <v>1</v>
      </c>
      <c r="I527" s="106" t="s">
        <v>601</v>
      </c>
    </row>
    <row r="528" customFormat="false" ht="15" hidden="false" customHeight="false" outlineLevel="0" collapsed="false">
      <c r="A528" s="102" t="s">
        <v>1725</v>
      </c>
      <c r="B528" s="102" t="s">
        <v>482</v>
      </c>
      <c r="C528" s="177" t="s">
        <v>122</v>
      </c>
      <c r="D528" s="102" t="s">
        <v>12</v>
      </c>
      <c r="E528" s="177" t="s">
        <v>16</v>
      </c>
      <c r="F528" s="177" t="s">
        <v>1208</v>
      </c>
      <c r="G528" s="177" t="s">
        <v>1209</v>
      </c>
      <c r="H528" s="190" t="n">
        <v>1</v>
      </c>
      <c r="I528" s="102" t="s">
        <v>601</v>
      </c>
    </row>
    <row r="529" customFormat="false" ht="15" hidden="false" customHeight="false" outlineLevel="0" collapsed="false">
      <c r="A529" s="106" t="s">
        <v>1726</v>
      </c>
      <c r="B529" s="106" t="s">
        <v>482</v>
      </c>
      <c r="C529" s="179" t="s">
        <v>122</v>
      </c>
      <c r="D529" s="106" t="s">
        <v>12</v>
      </c>
      <c r="E529" s="179" t="s">
        <v>16</v>
      </c>
      <c r="F529" s="179" t="s">
        <v>1201</v>
      </c>
      <c r="G529" s="179" t="s">
        <v>20</v>
      </c>
      <c r="H529" s="191" t="n">
        <v>1</v>
      </c>
      <c r="I529" s="106" t="s">
        <v>601</v>
      </c>
    </row>
    <row r="530" customFormat="false" ht="15" hidden="false" customHeight="false" outlineLevel="0" collapsed="false">
      <c r="A530" s="102" t="s">
        <v>1727</v>
      </c>
      <c r="B530" s="102" t="s">
        <v>482</v>
      </c>
      <c r="C530" s="177" t="s">
        <v>122</v>
      </c>
      <c r="D530" s="102" t="s">
        <v>12</v>
      </c>
      <c r="E530" s="177" t="s">
        <v>16</v>
      </c>
      <c r="F530" s="177" t="s">
        <v>1204</v>
      </c>
      <c r="G530" s="177" t="s">
        <v>1205</v>
      </c>
      <c r="H530" s="190" t="n">
        <v>1</v>
      </c>
      <c r="I530" s="102" t="s">
        <v>601</v>
      </c>
    </row>
    <row r="531" customFormat="false" ht="15" hidden="false" customHeight="false" outlineLevel="0" collapsed="false">
      <c r="A531" s="106" t="s">
        <v>1728</v>
      </c>
      <c r="B531" s="106" t="s">
        <v>482</v>
      </c>
      <c r="C531" s="179" t="s">
        <v>122</v>
      </c>
      <c r="D531" s="106" t="s">
        <v>12</v>
      </c>
      <c r="E531" s="179" t="s">
        <v>16</v>
      </c>
      <c r="F531" s="179" t="s">
        <v>1195</v>
      </c>
      <c r="G531" s="179" t="s">
        <v>1196</v>
      </c>
      <c r="H531" s="191" t="n">
        <v>1</v>
      </c>
      <c r="I531" s="106" t="s">
        <v>601</v>
      </c>
    </row>
    <row r="532" customFormat="false" ht="15" hidden="false" customHeight="false" outlineLevel="0" collapsed="false">
      <c r="A532" s="102" t="s">
        <v>1729</v>
      </c>
      <c r="B532" s="102" t="s">
        <v>483</v>
      </c>
      <c r="C532" s="177" t="s">
        <v>484</v>
      </c>
      <c r="D532" s="102" t="s">
        <v>12</v>
      </c>
      <c r="E532" s="177" t="s">
        <v>20</v>
      </c>
      <c r="F532" s="177" t="s">
        <v>1187</v>
      </c>
      <c r="G532" s="177" t="s">
        <v>1188</v>
      </c>
      <c r="H532" s="190" t="n">
        <v>1</v>
      </c>
      <c r="I532" s="102" t="s">
        <v>601</v>
      </c>
    </row>
    <row r="533" customFormat="false" ht="15" hidden="false" customHeight="false" outlineLevel="0" collapsed="false">
      <c r="A533" s="106" t="s">
        <v>1730</v>
      </c>
      <c r="B533" s="106" t="s">
        <v>483</v>
      </c>
      <c r="C533" s="179" t="s">
        <v>484</v>
      </c>
      <c r="D533" s="106" t="s">
        <v>12</v>
      </c>
      <c r="E533" s="179" t="s">
        <v>20</v>
      </c>
      <c r="F533" s="179" t="s">
        <v>1199</v>
      </c>
      <c r="G533" s="179" t="s">
        <v>1188</v>
      </c>
      <c r="H533" s="191" t="n">
        <v>1</v>
      </c>
      <c r="I533" s="106" t="s">
        <v>601</v>
      </c>
    </row>
    <row r="534" customFormat="false" ht="15" hidden="false" customHeight="false" outlineLevel="0" collapsed="false">
      <c r="A534" s="102" t="s">
        <v>1731</v>
      </c>
      <c r="B534" s="102" t="s">
        <v>483</v>
      </c>
      <c r="C534" s="177" t="s">
        <v>484</v>
      </c>
      <c r="D534" s="102" t="s">
        <v>12</v>
      </c>
      <c r="E534" s="177" t="s">
        <v>20</v>
      </c>
      <c r="F534" s="177" t="s">
        <v>1208</v>
      </c>
      <c r="G534" s="177" t="s">
        <v>1209</v>
      </c>
      <c r="H534" s="190" t="n">
        <v>1</v>
      </c>
      <c r="I534" s="102" t="s">
        <v>601</v>
      </c>
    </row>
    <row r="535" customFormat="false" ht="15" hidden="false" customHeight="false" outlineLevel="0" collapsed="false">
      <c r="A535" s="106" t="s">
        <v>1732</v>
      </c>
      <c r="B535" s="106" t="s">
        <v>483</v>
      </c>
      <c r="C535" s="179" t="s">
        <v>484</v>
      </c>
      <c r="D535" s="106" t="s">
        <v>12</v>
      </c>
      <c r="E535" s="179" t="s">
        <v>20</v>
      </c>
      <c r="F535" s="179" t="s">
        <v>1195</v>
      </c>
      <c r="G535" s="179" t="s">
        <v>1196</v>
      </c>
      <c r="H535" s="191" t="n">
        <v>1</v>
      </c>
      <c r="I535" s="106" t="s">
        <v>601</v>
      </c>
    </row>
    <row r="536" customFormat="false" ht="15" hidden="false" customHeight="false" outlineLevel="0" collapsed="false">
      <c r="A536" s="102" t="s">
        <v>1733</v>
      </c>
      <c r="B536" s="102" t="s">
        <v>483</v>
      </c>
      <c r="C536" s="177" t="s">
        <v>484</v>
      </c>
      <c r="D536" s="102" t="s">
        <v>12</v>
      </c>
      <c r="E536" s="177" t="s">
        <v>20</v>
      </c>
      <c r="F536" s="177" t="s">
        <v>1201</v>
      </c>
      <c r="G536" s="177" t="s">
        <v>20</v>
      </c>
      <c r="H536" s="190" t="n">
        <v>0.75</v>
      </c>
      <c r="I536" s="102" t="s">
        <v>1217</v>
      </c>
    </row>
    <row r="537" customFormat="false" ht="15" hidden="false" customHeight="false" outlineLevel="0" collapsed="false">
      <c r="A537" s="106" t="s">
        <v>1734</v>
      </c>
      <c r="B537" s="106" t="s">
        <v>485</v>
      </c>
      <c r="C537" s="179" t="s">
        <v>486</v>
      </c>
      <c r="D537" s="106" t="s">
        <v>12</v>
      </c>
      <c r="E537" s="179" t="s">
        <v>21</v>
      </c>
      <c r="F537" s="179" t="s">
        <v>1187</v>
      </c>
      <c r="G537" s="179" t="s">
        <v>1188</v>
      </c>
      <c r="H537" s="191" t="n">
        <v>0.5</v>
      </c>
      <c r="I537" s="106" t="s">
        <v>1217</v>
      </c>
    </row>
    <row r="538" customFormat="false" ht="15" hidden="false" customHeight="false" outlineLevel="0" collapsed="false">
      <c r="A538" s="102" t="s">
        <v>1735</v>
      </c>
      <c r="B538" s="102" t="s">
        <v>485</v>
      </c>
      <c r="C538" s="177" t="s">
        <v>486</v>
      </c>
      <c r="D538" s="102" t="s">
        <v>12</v>
      </c>
      <c r="E538" s="177" t="s">
        <v>21</v>
      </c>
      <c r="F538" s="177" t="s">
        <v>1199</v>
      </c>
      <c r="G538" s="177" t="s">
        <v>1188</v>
      </c>
      <c r="H538" s="190" t="n">
        <v>1</v>
      </c>
      <c r="I538" s="102" t="s">
        <v>601</v>
      </c>
    </row>
    <row r="539" customFormat="false" ht="15" hidden="false" customHeight="false" outlineLevel="0" collapsed="false">
      <c r="A539" s="106" t="s">
        <v>1736</v>
      </c>
      <c r="B539" s="106" t="s">
        <v>485</v>
      </c>
      <c r="C539" s="179" t="s">
        <v>486</v>
      </c>
      <c r="D539" s="106" t="s">
        <v>12</v>
      </c>
      <c r="E539" s="179" t="s">
        <v>21</v>
      </c>
      <c r="F539" s="179" t="s">
        <v>1208</v>
      </c>
      <c r="G539" s="179" t="s">
        <v>1209</v>
      </c>
      <c r="H539" s="191" t="n">
        <v>0.75</v>
      </c>
      <c r="I539" s="106" t="s">
        <v>1217</v>
      </c>
    </row>
    <row r="540" customFormat="false" ht="15" hidden="false" customHeight="false" outlineLevel="0" collapsed="false">
      <c r="A540" s="102" t="s">
        <v>1737</v>
      </c>
      <c r="B540" s="102" t="s">
        <v>485</v>
      </c>
      <c r="C540" s="177" t="s">
        <v>486</v>
      </c>
      <c r="D540" s="102" t="s">
        <v>12</v>
      </c>
      <c r="E540" s="177" t="s">
        <v>21</v>
      </c>
      <c r="F540" s="177" t="s">
        <v>1182</v>
      </c>
      <c r="G540" s="177" t="s">
        <v>1183</v>
      </c>
      <c r="H540" s="190" t="n">
        <v>1</v>
      </c>
      <c r="I540" s="102" t="s">
        <v>601</v>
      </c>
    </row>
    <row r="541" customFormat="false" ht="15" hidden="false" customHeight="false" outlineLevel="0" collapsed="false">
      <c r="A541" s="106" t="s">
        <v>1738</v>
      </c>
      <c r="B541" s="106" t="s">
        <v>485</v>
      </c>
      <c r="C541" s="179" t="s">
        <v>486</v>
      </c>
      <c r="D541" s="106" t="s">
        <v>12</v>
      </c>
      <c r="E541" s="179" t="s">
        <v>21</v>
      </c>
      <c r="F541" s="179" t="s">
        <v>1204</v>
      </c>
      <c r="G541" s="179" t="s">
        <v>1205</v>
      </c>
      <c r="H541" s="191" t="n">
        <v>1</v>
      </c>
      <c r="I541" s="106" t="s">
        <v>601</v>
      </c>
    </row>
    <row r="542" customFormat="false" ht="15" hidden="false" customHeight="false" outlineLevel="0" collapsed="false">
      <c r="A542" s="102" t="s">
        <v>1739</v>
      </c>
      <c r="B542" s="102" t="s">
        <v>485</v>
      </c>
      <c r="C542" s="177" t="s">
        <v>486</v>
      </c>
      <c r="D542" s="102" t="s">
        <v>12</v>
      </c>
      <c r="E542" s="177" t="s">
        <v>21</v>
      </c>
      <c r="F542" s="177" t="s">
        <v>1195</v>
      </c>
      <c r="G542" s="177" t="s">
        <v>1196</v>
      </c>
      <c r="H542" s="190" t="n">
        <v>1</v>
      </c>
      <c r="I542" s="102" t="s">
        <v>601</v>
      </c>
    </row>
    <row r="543" customFormat="false" ht="15" hidden="false" customHeight="false" outlineLevel="0" collapsed="false">
      <c r="A543" s="106" t="s">
        <v>1740</v>
      </c>
      <c r="B543" s="106" t="s">
        <v>485</v>
      </c>
      <c r="C543" s="179" t="s">
        <v>486</v>
      </c>
      <c r="D543" s="106" t="s">
        <v>12</v>
      </c>
      <c r="E543" s="179" t="s">
        <v>21</v>
      </c>
      <c r="F543" s="179" t="s">
        <v>1192</v>
      </c>
      <c r="G543" s="179" t="s">
        <v>1193</v>
      </c>
      <c r="H543" s="191" t="n">
        <v>1</v>
      </c>
      <c r="I543" s="106" t="s">
        <v>601</v>
      </c>
    </row>
    <row r="544" customFormat="false" ht="15" hidden="false" customHeight="false" outlineLevel="0" collapsed="false">
      <c r="A544" s="102" t="s">
        <v>1741</v>
      </c>
      <c r="B544" s="102" t="s">
        <v>488</v>
      </c>
      <c r="C544" s="177" t="s">
        <v>489</v>
      </c>
      <c r="D544" s="102" t="s">
        <v>12</v>
      </c>
      <c r="E544" s="177" t="s">
        <v>22</v>
      </c>
      <c r="F544" s="177" t="s">
        <v>1187</v>
      </c>
      <c r="G544" s="177" t="s">
        <v>1188</v>
      </c>
      <c r="H544" s="190" t="n">
        <v>1</v>
      </c>
      <c r="I544" s="102" t="s">
        <v>601</v>
      </c>
    </row>
    <row r="545" customFormat="false" ht="15" hidden="false" customHeight="false" outlineLevel="0" collapsed="false">
      <c r="A545" s="106" t="s">
        <v>1742</v>
      </c>
      <c r="B545" s="106" t="s">
        <v>488</v>
      </c>
      <c r="C545" s="179" t="s">
        <v>489</v>
      </c>
      <c r="D545" s="106" t="s">
        <v>12</v>
      </c>
      <c r="E545" s="179" t="s">
        <v>22</v>
      </c>
      <c r="F545" s="179" t="s">
        <v>1199</v>
      </c>
      <c r="G545" s="179" t="s">
        <v>1188</v>
      </c>
      <c r="H545" s="191" t="n">
        <v>0.25</v>
      </c>
      <c r="I545" s="106" t="s">
        <v>1222</v>
      </c>
    </row>
    <row r="546" customFormat="false" ht="15" hidden="false" customHeight="false" outlineLevel="0" collapsed="false">
      <c r="A546" s="102" t="s">
        <v>1743</v>
      </c>
      <c r="B546" s="102" t="s">
        <v>488</v>
      </c>
      <c r="C546" s="177" t="s">
        <v>489</v>
      </c>
      <c r="D546" s="102" t="s">
        <v>12</v>
      </c>
      <c r="E546" s="177" t="s">
        <v>22</v>
      </c>
      <c r="F546" s="177" t="s">
        <v>1208</v>
      </c>
      <c r="G546" s="177" t="s">
        <v>1209</v>
      </c>
      <c r="H546" s="190" t="n">
        <v>0.75</v>
      </c>
      <c r="I546" s="102" t="s">
        <v>1217</v>
      </c>
    </row>
    <row r="547" customFormat="false" ht="15" hidden="false" customHeight="false" outlineLevel="0" collapsed="false">
      <c r="A547" s="106" t="s">
        <v>1744</v>
      </c>
      <c r="B547" s="106" t="s">
        <v>488</v>
      </c>
      <c r="C547" s="179" t="s">
        <v>489</v>
      </c>
      <c r="D547" s="106" t="s">
        <v>12</v>
      </c>
      <c r="E547" s="179" t="s">
        <v>22</v>
      </c>
      <c r="F547" s="179" t="s">
        <v>1201</v>
      </c>
      <c r="G547" s="179" t="s">
        <v>20</v>
      </c>
      <c r="H547" s="191" t="n">
        <v>1</v>
      </c>
      <c r="I547" s="106" t="s">
        <v>601</v>
      </c>
    </row>
    <row r="548" customFormat="false" ht="15" hidden="false" customHeight="false" outlineLevel="0" collapsed="false">
      <c r="A548" s="102" t="s">
        <v>1745</v>
      </c>
      <c r="B548" s="102" t="s">
        <v>488</v>
      </c>
      <c r="C548" s="177" t="s">
        <v>489</v>
      </c>
      <c r="D548" s="102" t="s">
        <v>12</v>
      </c>
      <c r="E548" s="177" t="s">
        <v>22</v>
      </c>
      <c r="F548" s="177" t="s">
        <v>1192</v>
      </c>
      <c r="G548" s="177" t="s">
        <v>1193</v>
      </c>
      <c r="H548" s="190" t="n">
        <v>0.25</v>
      </c>
      <c r="I548" s="102" t="s">
        <v>1222</v>
      </c>
    </row>
    <row r="549" customFormat="false" ht="15" hidden="false" customHeight="false" outlineLevel="0" collapsed="false">
      <c r="A549" s="106" t="s">
        <v>1746</v>
      </c>
      <c r="B549" s="106" t="s">
        <v>488</v>
      </c>
      <c r="C549" s="179" t="s">
        <v>489</v>
      </c>
      <c r="D549" s="106" t="s">
        <v>12</v>
      </c>
      <c r="E549" s="179" t="s">
        <v>22</v>
      </c>
      <c r="F549" s="179" t="s">
        <v>1204</v>
      </c>
      <c r="G549" s="179" t="s">
        <v>1205</v>
      </c>
      <c r="H549" s="191" t="n">
        <v>0.5</v>
      </c>
      <c r="I549" s="106" t="s">
        <v>1217</v>
      </c>
    </row>
    <row r="550" customFormat="false" ht="15" hidden="false" customHeight="false" outlineLevel="0" collapsed="false">
      <c r="A550" s="102" t="s">
        <v>1747</v>
      </c>
      <c r="B550" s="102" t="s">
        <v>488</v>
      </c>
      <c r="C550" s="177" t="s">
        <v>489</v>
      </c>
      <c r="D550" s="102" t="s">
        <v>12</v>
      </c>
      <c r="E550" s="177" t="s">
        <v>22</v>
      </c>
      <c r="F550" s="177" t="s">
        <v>1195</v>
      </c>
      <c r="G550" s="177" t="s">
        <v>1196</v>
      </c>
      <c r="H550" s="190" t="n">
        <v>1</v>
      </c>
      <c r="I550" s="102" t="s">
        <v>601</v>
      </c>
    </row>
    <row r="551" customFormat="false" ht="15" hidden="false" customHeight="false" outlineLevel="0" collapsed="false">
      <c r="A551" s="106" t="s">
        <v>1748</v>
      </c>
      <c r="B551" s="106" t="s">
        <v>490</v>
      </c>
      <c r="C551" s="179" t="s">
        <v>491</v>
      </c>
      <c r="D551" s="106" t="s">
        <v>12</v>
      </c>
      <c r="E551" s="179" t="s">
        <v>23</v>
      </c>
      <c r="F551" s="179" t="s">
        <v>1187</v>
      </c>
      <c r="G551" s="179" t="s">
        <v>1188</v>
      </c>
      <c r="H551" s="191" t="n">
        <v>0.25</v>
      </c>
      <c r="I551" s="106" t="s">
        <v>1222</v>
      </c>
    </row>
    <row r="552" customFormat="false" ht="15" hidden="false" customHeight="false" outlineLevel="0" collapsed="false">
      <c r="A552" s="102" t="s">
        <v>1749</v>
      </c>
      <c r="B552" s="102" t="s">
        <v>490</v>
      </c>
      <c r="C552" s="177" t="s">
        <v>491</v>
      </c>
      <c r="D552" s="102" t="s">
        <v>12</v>
      </c>
      <c r="E552" s="177" t="s">
        <v>23</v>
      </c>
      <c r="F552" s="177" t="s">
        <v>1199</v>
      </c>
      <c r="G552" s="177" t="s">
        <v>1188</v>
      </c>
      <c r="H552" s="190" t="n">
        <v>1</v>
      </c>
      <c r="I552" s="102" t="s">
        <v>601</v>
      </c>
    </row>
    <row r="553" customFormat="false" ht="15" hidden="false" customHeight="false" outlineLevel="0" collapsed="false">
      <c r="A553" s="106" t="s">
        <v>1750</v>
      </c>
      <c r="B553" s="106" t="s">
        <v>490</v>
      </c>
      <c r="C553" s="179" t="s">
        <v>491</v>
      </c>
      <c r="D553" s="106" t="s">
        <v>12</v>
      </c>
      <c r="E553" s="179" t="s">
        <v>23</v>
      </c>
      <c r="F553" s="179" t="s">
        <v>1208</v>
      </c>
      <c r="G553" s="179" t="s">
        <v>1209</v>
      </c>
      <c r="H553" s="191" t="n">
        <v>1</v>
      </c>
      <c r="I553" s="106" t="s">
        <v>601</v>
      </c>
    </row>
    <row r="554" customFormat="false" ht="15" hidden="false" customHeight="false" outlineLevel="0" collapsed="false">
      <c r="A554" s="102" t="s">
        <v>1751</v>
      </c>
      <c r="B554" s="102" t="s">
        <v>490</v>
      </c>
      <c r="C554" s="177" t="s">
        <v>491</v>
      </c>
      <c r="D554" s="102" t="s">
        <v>12</v>
      </c>
      <c r="E554" s="177" t="s">
        <v>23</v>
      </c>
      <c r="F554" s="177" t="s">
        <v>1192</v>
      </c>
      <c r="G554" s="177" t="s">
        <v>1193</v>
      </c>
      <c r="H554" s="190" t="n">
        <v>1</v>
      </c>
      <c r="I554" s="102" t="s">
        <v>601</v>
      </c>
    </row>
    <row r="555" customFormat="false" ht="15" hidden="false" customHeight="false" outlineLevel="0" collapsed="false">
      <c r="A555" s="106" t="s">
        <v>1752</v>
      </c>
      <c r="B555" s="106" t="s">
        <v>490</v>
      </c>
      <c r="C555" s="179" t="s">
        <v>491</v>
      </c>
      <c r="D555" s="106" t="s">
        <v>12</v>
      </c>
      <c r="E555" s="179" t="s">
        <v>23</v>
      </c>
      <c r="F555" s="179" t="s">
        <v>1182</v>
      </c>
      <c r="G555" s="179" t="s">
        <v>1183</v>
      </c>
      <c r="H555" s="191" t="n">
        <v>1</v>
      </c>
      <c r="I555" s="106" t="s">
        <v>601</v>
      </c>
    </row>
    <row r="556" customFormat="false" ht="15" hidden="false" customHeight="false" outlineLevel="0" collapsed="false">
      <c r="A556" s="102" t="s">
        <v>1753</v>
      </c>
      <c r="B556" s="102" t="s">
        <v>490</v>
      </c>
      <c r="C556" s="177" t="s">
        <v>491</v>
      </c>
      <c r="D556" s="102" t="s">
        <v>12</v>
      </c>
      <c r="E556" s="177" t="s">
        <v>23</v>
      </c>
      <c r="F556" s="177" t="s">
        <v>1204</v>
      </c>
      <c r="G556" s="177" t="s">
        <v>1205</v>
      </c>
      <c r="H556" s="190" t="n">
        <v>1</v>
      </c>
      <c r="I556" s="102" t="s">
        <v>601</v>
      </c>
    </row>
    <row r="557" customFormat="false" ht="15" hidden="false" customHeight="false" outlineLevel="0" collapsed="false">
      <c r="A557" s="106" t="s">
        <v>1754</v>
      </c>
      <c r="B557" s="106" t="s">
        <v>490</v>
      </c>
      <c r="C557" s="179" t="s">
        <v>491</v>
      </c>
      <c r="D557" s="106" t="s">
        <v>12</v>
      </c>
      <c r="E557" s="179" t="s">
        <v>23</v>
      </c>
      <c r="F557" s="179" t="s">
        <v>1201</v>
      </c>
      <c r="G557" s="179" t="s">
        <v>20</v>
      </c>
      <c r="H557" s="191" t="n">
        <v>1</v>
      </c>
      <c r="I557" s="106" t="s">
        <v>601</v>
      </c>
    </row>
    <row r="558" customFormat="false" ht="15" hidden="false" customHeight="false" outlineLevel="0" collapsed="false">
      <c r="A558" s="102" t="s">
        <v>1755</v>
      </c>
      <c r="B558" s="102" t="s">
        <v>492</v>
      </c>
      <c r="C558" s="177" t="s">
        <v>493</v>
      </c>
      <c r="D558" s="102" t="s">
        <v>12</v>
      </c>
      <c r="E558" s="177" t="s">
        <v>15</v>
      </c>
      <c r="F558" s="177" t="s">
        <v>1187</v>
      </c>
      <c r="G558" s="177" t="s">
        <v>1188</v>
      </c>
      <c r="H558" s="190" t="n">
        <v>1</v>
      </c>
      <c r="I558" s="102" t="s">
        <v>601</v>
      </c>
    </row>
    <row r="559" customFormat="false" ht="15" hidden="false" customHeight="false" outlineLevel="0" collapsed="false">
      <c r="A559" s="106" t="s">
        <v>1756</v>
      </c>
      <c r="B559" s="106" t="s">
        <v>492</v>
      </c>
      <c r="C559" s="179" t="s">
        <v>493</v>
      </c>
      <c r="D559" s="106" t="s">
        <v>12</v>
      </c>
      <c r="E559" s="179" t="s">
        <v>15</v>
      </c>
      <c r="F559" s="179" t="s">
        <v>1199</v>
      </c>
      <c r="G559" s="179" t="s">
        <v>1188</v>
      </c>
      <c r="H559" s="191" t="n">
        <v>0.75</v>
      </c>
      <c r="I559" s="106" t="s">
        <v>1217</v>
      </c>
    </row>
    <row r="560" customFormat="false" ht="15" hidden="false" customHeight="false" outlineLevel="0" collapsed="false">
      <c r="A560" s="102" t="s">
        <v>1757</v>
      </c>
      <c r="B560" s="102" t="s">
        <v>492</v>
      </c>
      <c r="C560" s="177" t="s">
        <v>493</v>
      </c>
      <c r="D560" s="102" t="s">
        <v>12</v>
      </c>
      <c r="E560" s="177" t="s">
        <v>15</v>
      </c>
      <c r="F560" s="177" t="s">
        <v>1208</v>
      </c>
      <c r="G560" s="177" t="s">
        <v>1209</v>
      </c>
      <c r="H560" s="190" t="n">
        <v>0.5</v>
      </c>
      <c r="I560" s="102" t="s">
        <v>1217</v>
      </c>
    </row>
    <row r="561" customFormat="false" ht="15" hidden="false" customHeight="false" outlineLevel="0" collapsed="false">
      <c r="A561" s="106" t="s">
        <v>1758</v>
      </c>
      <c r="B561" s="106" t="s">
        <v>492</v>
      </c>
      <c r="C561" s="179" t="s">
        <v>493</v>
      </c>
      <c r="D561" s="106" t="s">
        <v>12</v>
      </c>
      <c r="E561" s="179" t="s">
        <v>15</v>
      </c>
      <c r="F561" s="179" t="s">
        <v>1192</v>
      </c>
      <c r="G561" s="179" t="s">
        <v>1193</v>
      </c>
      <c r="H561" s="191" t="n">
        <v>1</v>
      </c>
      <c r="I561" s="106" t="s">
        <v>601</v>
      </c>
    </row>
    <row r="562" customFormat="false" ht="15" hidden="false" customHeight="false" outlineLevel="0" collapsed="false">
      <c r="A562" s="102" t="s">
        <v>1759</v>
      </c>
      <c r="B562" s="102" t="s">
        <v>492</v>
      </c>
      <c r="C562" s="177" t="s">
        <v>493</v>
      </c>
      <c r="D562" s="102" t="s">
        <v>12</v>
      </c>
      <c r="E562" s="177" t="s">
        <v>15</v>
      </c>
      <c r="F562" s="177" t="s">
        <v>1195</v>
      </c>
      <c r="G562" s="177" t="s">
        <v>1196</v>
      </c>
      <c r="H562" s="190" t="n">
        <v>1</v>
      </c>
      <c r="I562" s="102" t="s">
        <v>601</v>
      </c>
    </row>
    <row r="563" customFormat="false" ht="15" hidden="false" customHeight="false" outlineLevel="0" collapsed="false">
      <c r="A563" s="106" t="s">
        <v>1760</v>
      </c>
      <c r="B563" s="106" t="s">
        <v>494</v>
      </c>
      <c r="C563" s="179" t="s">
        <v>495</v>
      </c>
      <c r="D563" s="106" t="s">
        <v>12</v>
      </c>
      <c r="E563" s="179" t="s">
        <v>16</v>
      </c>
      <c r="F563" s="179" t="s">
        <v>1187</v>
      </c>
      <c r="G563" s="179" t="s">
        <v>1188</v>
      </c>
      <c r="H563" s="191" t="n">
        <v>0.25</v>
      </c>
      <c r="I563" s="106" t="s">
        <v>1222</v>
      </c>
    </row>
    <row r="564" customFormat="false" ht="15" hidden="false" customHeight="false" outlineLevel="0" collapsed="false">
      <c r="A564" s="102" t="s">
        <v>1761</v>
      </c>
      <c r="B564" s="102" t="s">
        <v>494</v>
      </c>
      <c r="C564" s="177" t="s">
        <v>495</v>
      </c>
      <c r="D564" s="102" t="s">
        <v>12</v>
      </c>
      <c r="E564" s="177" t="s">
        <v>16</v>
      </c>
      <c r="F564" s="177" t="s">
        <v>1199</v>
      </c>
      <c r="G564" s="177" t="s">
        <v>1188</v>
      </c>
      <c r="H564" s="190" t="n">
        <v>1</v>
      </c>
      <c r="I564" s="102" t="s">
        <v>601</v>
      </c>
    </row>
    <row r="565" customFormat="false" ht="15" hidden="false" customHeight="false" outlineLevel="0" collapsed="false">
      <c r="A565" s="106" t="s">
        <v>1762</v>
      </c>
      <c r="B565" s="106" t="s">
        <v>494</v>
      </c>
      <c r="C565" s="179" t="s">
        <v>495</v>
      </c>
      <c r="D565" s="106" t="s">
        <v>12</v>
      </c>
      <c r="E565" s="179" t="s">
        <v>16</v>
      </c>
      <c r="F565" s="179" t="s">
        <v>1208</v>
      </c>
      <c r="G565" s="179" t="s">
        <v>1209</v>
      </c>
      <c r="H565" s="191" t="n">
        <v>0.75</v>
      </c>
      <c r="I565" s="106" t="s">
        <v>1217</v>
      </c>
    </row>
    <row r="566" customFormat="false" ht="15" hidden="false" customHeight="false" outlineLevel="0" collapsed="false">
      <c r="A566" s="102" t="s">
        <v>1763</v>
      </c>
      <c r="B566" s="102" t="s">
        <v>494</v>
      </c>
      <c r="C566" s="177" t="s">
        <v>495</v>
      </c>
      <c r="D566" s="102" t="s">
        <v>12</v>
      </c>
      <c r="E566" s="177" t="s">
        <v>16</v>
      </c>
      <c r="F566" s="177" t="s">
        <v>1195</v>
      </c>
      <c r="G566" s="177" t="s">
        <v>1196</v>
      </c>
      <c r="H566" s="190" t="n">
        <v>1</v>
      </c>
      <c r="I566" s="102" t="s">
        <v>601</v>
      </c>
    </row>
    <row r="567" customFormat="false" ht="15" hidden="false" customHeight="false" outlineLevel="0" collapsed="false">
      <c r="A567" s="106" t="s">
        <v>1764</v>
      </c>
      <c r="B567" s="106" t="s">
        <v>494</v>
      </c>
      <c r="C567" s="179" t="s">
        <v>495</v>
      </c>
      <c r="D567" s="106" t="s">
        <v>12</v>
      </c>
      <c r="E567" s="179" t="s">
        <v>16</v>
      </c>
      <c r="F567" s="179" t="s">
        <v>1204</v>
      </c>
      <c r="G567" s="179" t="s">
        <v>1205</v>
      </c>
      <c r="H567" s="191" t="n">
        <v>0.75</v>
      </c>
      <c r="I567" s="106" t="s">
        <v>1217</v>
      </c>
    </row>
    <row r="568" customFormat="false" ht="15" hidden="false" customHeight="false" outlineLevel="0" collapsed="false">
      <c r="A568" s="102" t="s">
        <v>1765</v>
      </c>
      <c r="B568" s="102" t="s">
        <v>494</v>
      </c>
      <c r="C568" s="177" t="s">
        <v>495</v>
      </c>
      <c r="D568" s="102" t="s">
        <v>12</v>
      </c>
      <c r="E568" s="177" t="s">
        <v>16</v>
      </c>
      <c r="F568" s="177" t="s">
        <v>1201</v>
      </c>
      <c r="G568" s="177" t="s">
        <v>20</v>
      </c>
      <c r="H568" s="190" t="n">
        <v>1</v>
      </c>
      <c r="I568" s="102" t="s">
        <v>601</v>
      </c>
    </row>
    <row r="569" customFormat="false" ht="15" hidden="false" customHeight="false" outlineLevel="0" collapsed="false">
      <c r="A569" s="106" t="s">
        <v>1766</v>
      </c>
      <c r="B569" s="106" t="s">
        <v>494</v>
      </c>
      <c r="C569" s="179" t="s">
        <v>495</v>
      </c>
      <c r="D569" s="106" t="s">
        <v>12</v>
      </c>
      <c r="E569" s="179" t="s">
        <v>16</v>
      </c>
      <c r="F569" s="179" t="s">
        <v>1192</v>
      </c>
      <c r="G569" s="179" t="s">
        <v>1193</v>
      </c>
      <c r="H569" s="191" t="n">
        <v>1</v>
      </c>
      <c r="I569" s="106" t="s">
        <v>601</v>
      </c>
    </row>
    <row r="570" customFormat="false" ht="15" hidden="false" customHeight="false" outlineLevel="0" collapsed="false">
      <c r="A570" s="102" t="s">
        <v>1767</v>
      </c>
      <c r="B570" s="102" t="s">
        <v>496</v>
      </c>
      <c r="C570" s="177" t="s">
        <v>114</v>
      </c>
      <c r="D570" s="102" t="s">
        <v>12</v>
      </c>
      <c r="E570" s="177" t="s">
        <v>16</v>
      </c>
      <c r="F570" s="177" t="s">
        <v>1187</v>
      </c>
      <c r="G570" s="177" t="s">
        <v>1188</v>
      </c>
      <c r="H570" s="190" t="n">
        <v>0.75</v>
      </c>
      <c r="I570" s="102" t="s">
        <v>1217</v>
      </c>
    </row>
    <row r="571" customFormat="false" ht="15" hidden="false" customHeight="false" outlineLevel="0" collapsed="false">
      <c r="A571" s="106" t="s">
        <v>1768</v>
      </c>
      <c r="B571" s="106" t="s">
        <v>496</v>
      </c>
      <c r="C571" s="179" t="s">
        <v>114</v>
      </c>
      <c r="D571" s="106" t="s">
        <v>12</v>
      </c>
      <c r="E571" s="179" t="s">
        <v>16</v>
      </c>
      <c r="F571" s="179" t="s">
        <v>1199</v>
      </c>
      <c r="G571" s="179" t="s">
        <v>1188</v>
      </c>
      <c r="H571" s="191" t="n">
        <v>0.5</v>
      </c>
      <c r="I571" s="106" t="s">
        <v>1217</v>
      </c>
    </row>
    <row r="572" customFormat="false" ht="15" hidden="false" customHeight="false" outlineLevel="0" collapsed="false">
      <c r="A572" s="102" t="s">
        <v>1769</v>
      </c>
      <c r="B572" s="102" t="s">
        <v>496</v>
      </c>
      <c r="C572" s="177" t="s">
        <v>114</v>
      </c>
      <c r="D572" s="102" t="s">
        <v>12</v>
      </c>
      <c r="E572" s="177" t="s">
        <v>16</v>
      </c>
      <c r="F572" s="177" t="s">
        <v>1208</v>
      </c>
      <c r="G572" s="177" t="s">
        <v>1209</v>
      </c>
      <c r="H572" s="190" t="n">
        <v>0.25</v>
      </c>
      <c r="I572" s="102" t="s">
        <v>1222</v>
      </c>
    </row>
    <row r="573" customFormat="false" ht="15" hidden="false" customHeight="false" outlineLevel="0" collapsed="false">
      <c r="A573" s="106" t="s">
        <v>1770</v>
      </c>
      <c r="B573" s="106" t="s">
        <v>496</v>
      </c>
      <c r="C573" s="179" t="s">
        <v>114</v>
      </c>
      <c r="D573" s="106" t="s">
        <v>12</v>
      </c>
      <c r="E573" s="179" t="s">
        <v>16</v>
      </c>
      <c r="F573" s="179" t="s">
        <v>1204</v>
      </c>
      <c r="G573" s="179" t="s">
        <v>1205</v>
      </c>
      <c r="H573" s="191" t="n">
        <v>0.5</v>
      </c>
      <c r="I573" s="106" t="s">
        <v>1217</v>
      </c>
    </row>
    <row r="574" customFormat="false" ht="15" hidden="false" customHeight="false" outlineLevel="0" collapsed="false">
      <c r="A574" s="102" t="s">
        <v>1771</v>
      </c>
      <c r="B574" s="102" t="s">
        <v>496</v>
      </c>
      <c r="C574" s="177" t="s">
        <v>114</v>
      </c>
      <c r="D574" s="102" t="s">
        <v>12</v>
      </c>
      <c r="E574" s="177" t="s">
        <v>16</v>
      </c>
      <c r="F574" s="177" t="s">
        <v>1182</v>
      </c>
      <c r="G574" s="177" t="s">
        <v>1183</v>
      </c>
      <c r="H574" s="190" t="n">
        <v>1</v>
      </c>
      <c r="I574" s="102" t="s">
        <v>601</v>
      </c>
    </row>
    <row r="575" customFormat="false" ht="15" hidden="false" customHeight="false" outlineLevel="0" collapsed="false">
      <c r="A575" s="106" t="s">
        <v>1772</v>
      </c>
      <c r="B575" s="106" t="s">
        <v>496</v>
      </c>
      <c r="C575" s="179" t="s">
        <v>114</v>
      </c>
      <c r="D575" s="106" t="s">
        <v>12</v>
      </c>
      <c r="E575" s="179" t="s">
        <v>16</v>
      </c>
      <c r="F575" s="179" t="s">
        <v>1201</v>
      </c>
      <c r="G575" s="179" t="s">
        <v>20</v>
      </c>
      <c r="H575" s="191" t="n">
        <v>1</v>
      </c>
      <c r="I575" s="106" t="s">
        <v>601</v>
      </c>
    </row>
    <row r="576" customFormat="false" ht="15" hidden="false" customHeight="false" outlineLevel="0" collapsed="false">
      <c r="A576" s="102" t="s">
        <v>1773</v>
      </c>
      <c r="B576" s="102" t="s">
        <v>496</v>
      </c>
      <c r="C576" s="177" t="s">
        <v>114</v>
      </c>
      <c r="D576" s="102" t="s">
        <v>12</v>
      </c>
      <c r="E576" s="177" t="s">
        <v>16</v>
      </c>
      <c r="F576" s="177" t="s">
        <v>1195</v>
      </c>
      <c r="G576" s="177" t="s">
        <v>1196</v>
      </c>
      <c r="H576" s="190" t="n">
        <v>1</v>
      </c>
      <c r="I576" s="102" t="s">
        <v>601</v>
      </c>
    </row>
    <row r="577" customFormat="false" ht="15" hidden="false" customHeight="false" outlineLevel="0" collapsed="false">
      <c r="A577" s="106" t="s">
        <v>1774</v>
      </c>
      <c r="B577" s="106" t="s">
        <v>497</v>
      </c>
      <c r="C577" s="179" t="s">
        <v>498</v>
      </c>
      <c r="D577" s="106" t="s">
        <v>12</v>
      </c>
      <c r="E577" s="179" t="s">
        <v>20</v>
      </c>
      <c r="F577" s="179" t="s">
        <v>1187</v>
      </c>
      <c r="G577" s="179" t="s">
        <v>1188</v>
      </c>
      <c r="H577" s="191" t="n">
        <v>1</v>
      </c>
      <c r="I577" s="106" t="s">
        <v>601</v>
      </c>
    </row>
    <row r="578" customFormat="false" ht="15" hidden="false" customHeight="false" outlineLevel="0" collapsed="false">
      <c r="A578" s="102" t="s">
        <v>1775</v>
      </c>
      <c r="B578" s="102" t="s">
        <v>497</v>
      </c>
      <c r="C578" s="177" t="s">
        <v>498</v>
      </c>
      <c r="D578" s="102" t="s">
        <v>12</v>
      </c>
      <c r="E578" s="177" t="s">
        <v>20</v>
      </c>
      <c r="F578" s="177" t="s">
        <v>1199</v>
      </c>
      <c r="G578" s="177" t="s">
        <v>1188</v>
      </c>
      <c r="H578" s="190" t="n">
        <v>1</v>
      </c>
      <c r="I578" s="102" t="s">
        <v>601</v>
      </c>
    </row>
    <row r="579" customFormat="false" ht="15" hidden="false" customHeight="false" outlineLevel="0" collapsed="false">
      <c r="A579" s="106" t="s">
        <v>1776</v>
      </c>
      <c r="B579" s="106" t="s">
        <v>497</v>
      </c>
      <c r="C579" s="179" t="s">
        <v>498</v>
      </c>
      <c r="D579" s="106" t="s">
        <v>12</v>
      </c>
      <c r="E579" s="179" t="s">
        <v>20</v>
      </c>
      <c r="F579" s="179" t="s">
        <v>1208</v>
      </c>
      <c r="G579" s="179" t="s">
        <v>1209</v>
      </c>
      <c r="H579" s="191" t="n">
        <v>1</v>
      </c>
      <c r="I579" s="106" t="s">
        <v>601</v>
      </c>
    </row>
    <row r="580" customFormat="false" ht="15" hidden="false" customHeight="false" outlineLevel="0" collapsed="false">
      <c r="A580" s="102" t="s">
        <v>1777</v>
      </c>
      <c r="B580" s="102" t="s">
        <v>497</v>
      </c>
      <c r="C580" s="177" t="s">
        <v>498</v>
      </c>
      <c r="D580" s="102" t="s">
        <v>12</v>
      </c>
      <c r="E580" s="177" t="s">
        <v>20</v>
      </c>
      <c r="F580" s="177" t="s">
        <v>1182</v>
      </c>
      <c r="G580" s="177" t="s">
        <v>1183</v>
      </c>
      <c r="H580" s="190" t="n">
        <v>1</v>
      </c>
      <c r="I580" s="102" t="s">
        <v>601</v>
      </c>
    </row>
    <row r="581" customFormat="false" ht="15" hidden="false" customHeight="false" outlineLevel="0" collapsed="false">
      <c r="A581" s="106" t="s">
        <v>1778</v>
      </c>
      <c r="B581" s="106" t="s">
        <v>497</v>
      </c>
      <c r="C581" s="179" t="s">
        <v>498</v>
      </c>
      <c r="D581" s="106" t="s">
        <v>12</v>
      </c>
      <c r="E581" s="179" t="s">
        <v>20</v>
      </c>
      <c r="F581" s="179" t="s">
        <v>1192</v>
      </c>
      <c r="G581" s="179" t="s">
        <v>1193</v>
      </c>
      <c r="H581" s="191" t="n">
        <v>1</v>
      </c>
      <c r="I581" s="106" t="s">
        <v>601</v>
      </c>
    </row>
    <row r="582" customFormat="false" ht="15" hidden="false" customHeight="false" outlineLevel="0" collapsed="false">
      <c r="A582" s="102" t="s">
        <v>1779</v>
      </c>
      <c r="B582" s="102" t="s">
        <v>497</v>
      </c>
      <c r="C582" s="177" t="s">
        <v>498</v>
      </c>
      <c r="D582" s="102" t="s">
        <v>12</v>
      </c>
      <c r="E582" s="177" t="s">
        <v>20</v>
      </c>
      <c r="F582" s="177" t="s">
        <v>1201</v>
      </c>
      <c r="G582" s="177" t="s">
        <v>20</v>
      </c>
      <c r="H582" s="190" t="n">
        <v>0.5</v>
      </c>
      <c r="I582" s="102" t="s">
        <v>1217</v>
      </c>
    </row>
    <row r="583" customFormat="false" ht="15" hidden="false" customHeight="false" outlineLevel="0" collapsed="false">
      <c r="A583" s="106" t="s">
        <v>1780</v>
      </c>
      <c r="B583" s="106" t="s">
        <v>499</v>
      </c>
      <c r="C583" s="179" t="s">
        <v>500</v>
      </c>
      <c r="D583" s="106" t="s">
        <v>12</v>
      </c>
      <c r="E583" s="179" t="s">
        <v>20</v>
      </c>
      <c r="F583" s="179" t="s">
        <v>1187</v>
      </c>
      <c r="G583" s="179" t="s">
        <v>1188</v>
      </c>
      <c r="H583" s="191" t="n">
        <v>0.25</v>
      </c>
      <c r="I583" s="106" t="s">
        <v>1222</v>
      </c>
    </row>
    <row r="584" customFormat="false" ht="15" hidden="false" customHeight="false" outlineLevel="0" collapsed="false">
      <c r="A584" s="102" t="s">
        <v>1781</v>
      </c>
      <c r="B584" s="102" t="s">
        <v>499</v>
      </c>
      <c r="C584" s="177" t="s">
        <v>500</v>
      </c>
      <c r="D584" s="102" t="s">
        <v>12</v>
      </c>
      <c r="E584" s="177" t="s">
        <v>20</v>
      </c>
      <c r="F584" s="177" t="s">
        <v>1199</v>
      </c>
      <c r="G584" s="177" t="s">
        <v>1188</v>
      </c>
      <c r="H584" s="190" t="n">
        <v>0.25</v>
      </c>
      <c r="I584" s="102" t="s">
        <v>1222</v>
      </c>
    </row>
    <row r="585" customFormat="false" ht="15" hidden="false" customHeight="false" outlineLevel="0" collapsed="false">
      <c r="A585" s="106" t="s">
        <v>1782</v>
      </c>
      <c r="B585" s="106" t="s">
        <v>499</v>
      </c>
      <c r="C585" s="179" t="s">
        <v>500</v>
      </c>
      <c r="D585" s="106" t="s">
        <v>12</v>
      </c>
      <c r="E585" s="179" t="s">
        <v>20</v>
      </c>
      <c r="F585" s="179" t="s">
        <v>1208</v>
      </c>
      <c r="G585" s="179" t="s">
        <v>1209</v>
      </c>
      <c r="H585" s="191" t="n">
        <v>1</v>
      </c>
      <c r="I585" s="106" t="s">
        <v>601</v>
      </c>
    </row>
    <row r="586" customFormat="false" ht="15" hidden="false" customHeight="false" outlineLevel="0" collapsed="false">
      <c r="A586" s="102" t="s">
        <v>1783</v>
      </c>
      <c r="B586" s="102" t="s">
        <v>499</v>
      </c>
      <c r="C586" s="177" t="s">
        <v>500</v>
      </c>
      <c r="D586" s="102" t="s">
        <v>12</v>
      </c>
      <c r="E586" s="177" t="s">
        <v>20</v>
      </c>
      <c r="F586" s="177" t="s">
        <v>1192</v>
      </c>
      <c r="G586" s="177" t="s">
        <v>1193</v>
      </c>
      <c r="H586" s="190" t="n">
        <v>0.5</v>
      </c>
      <c r="I586" s="102" t="s">
        <v>1217</v>
      </c>
    </row>
    <row r="587" customFormat="false" ht="15" hidden="false" customHeight="false" outlineLevel="0" collapsed="false">
      <c r="A587" s="106" t="s">
        <v>1784</v>
      </c>
      <c r="B587" s="106" t="s">
        <v>499</v>
      </c>
      <c r="C587" s="179" t="s">
        <v>500</v>
      </c>
      <c r="D587" s="106" t="s">
        <v>12</v>
      </c>
      <c r="E587" s="179" t="s">
        <v>20</v>
      </c>
      <c r="F587" s="179" t="s">
        <v>1182</v>
      </c>
      <c r="G587" s="179" t="s">
        <v>1183</v>
      </c>
      <c r="H587" s="191" t="n">
        <v>1</v>
      </c>
      <c r="I587" s="106" t="s">
        <v>601</v>
      </c>
    </row>
    <row r="588" customFormat="false" ht="15" hidden="false" customHeight="false" outlineLevel="0" collapsed="false">
      <c r="A588" s="102" t="s">
        <v>1785</v>
      </c>
      <c r="B588" s="102" t="s">
        <v>499</v>
      </c>
      <c r="C588" s="177" t="s">
        <v>500</v>
      </c>
      <c r="D588" s="102" t="s">
        <v>12</v>
      </c>
      <c r="E588" s="177" t="s">
        <v>20</v>
      </c>
      <c r="F588" s="177" t="s">
        <v>1195</v>
      </c>
      <c r="G588" s="177" t="s">
        <v>1196</v>
      </c>
      <c r="H588" s="190" t="n">
        <v>1</v>
      </c>
      <c r="I588" s="102" t="s">
        <v>601</v>
      </c>
    </row>
    <row r="589" customFormat="false" ht="15" hidden="false" customHeight="false" outlineLevel="0" collapsed="false">
      <c r="A589" s="106" t="s">
        <v>1786</v>
      </c>
      <c r="B589" s="106" t="s">
        <v>499</v>
      </c>
      <c r="C589" s="179" t="s">
        <v>500</v>
      </c>
      <c r="D589" s="106" t="s">
        <v>12</v>
      </c>
      <c r="E589" s="179" t="s">
        <v>20</v>
      </c>
      <c r="F589" s="179" t="s">
        <v>1204</v>
      </c>
      <c r="G589" s="179" t="s">
        <v>1205</v>
      </c>
      <c r="H589" s="191" t="n">
        <v>1</v>
      </c>
      <c r="I589" s="106" t="s">
        <v>601</v>
      </c>
    </row>
    <row r="590" customFormat="false" ht="15" hidden="false" customHeight="false" outlineLevel="0" collapsed="false">
      <c r="A590" s="102" t="s">
        <v>1787</v>
      </c>
      <c r="B590" s="102" t="s">
        <v>501</v>
      </c>
      <c r="C590" s="177" t="s">
        <v>502</v>
      </c>
      <c r="D590" s="102" t="s">
        <v>12</v>
      </c>
      <c r="E590" s="177" t="s">
        <v>21</v>
      </c>
      <c r="F590" s="177" t="s">
        <v>1187</v>
      </c>
      <c r="G590" s="177" t="s">
        <v>1188</v>
      </c>
      <c r="H590" s="190" t="n">
        <v>0</v>
      </c>
      <c r="I590" s="102" t="s">
        <v>1222</v>
      </c>
    </row>
    <row r="591" customFormat="false" ht="15" hidden="false" customHeight="false" outlineLevel="0" collapsed="false">
      <c r="A591" s="106" t="s">
        <v>1788</v>
      </c>
      <c r="B591" s="106" t="s">
        <v>501</v>
      </c>
      <c r="C591" s="179" t="s">
        <v>502</v>
      </c>
      <c r="D591" s="106" t="s">
        <v>12</v>
      </c>
      <c r="E591" s="179" t="s">
        <v>21</v>
      </c>
      <c r="F591" s="179" t="s">
        <v>1199</v>
      </c>
      <c r="G591" s="179" t="s">
        <v>1188</v>
      </c>
      <c r="H591" s="191" t="n">
        <v>1</v>
      </c>
      <c r="I591" s="106" t="s">
        <v>601</v>
      </c>
    </row>
    <row r="592" customFormat="false" ht="15" hidden="false" customHeight="false" outlineLevel="0" collapsed="false">
      <c r="A592" s="102" t="s">
        <v>1789</v>
      </c>
      <c r="B592" s="102" t="s">
        <v>501</v>
      </c>
      <c r="C592" s="177" t="s">
        <v>502</v>
      </c>
      <c r="D592" s="102" t="s">
        <v>12</v>
      </c>
      <c r="E592" s="177" t="s">
        <v>21</v>
      </c>
      <c r="F592" s="177" t="s">
        <v>1208</v>
      </c>
      <c r="G592" s="177" t="s">
        <v>1209</v>
      </c>
      <c r="H592" s="190" t="n">
        <v>0.5</v>
      </c>
      <c r="I592" s="102" t="s">
        <v>1217</v>
      </c>
    </row>
    <row r="593" customFormat="false" ht="15" hidden="false" customHeight="false" outlineLevel="0" collapsed="false">
      <c r="A593" s="106" t="s">
        <v>1790</v>
      </c>
      <c r="B593" s="106" t="s">
        <v>501</v>
      </c>
      <c r="C593" s="179" t="s">
        <v>502</v>
      </c>
      <c r="D593" s="106" t="s">
        <v>12</v>
      </c>
      <c r="E593" s="179" t="s">
        <v>21</v>
      </c>
      <c r="F593" s="179" t="s">
        <v>1182</v>
      </c>
      <c r="G593" s="179" t="s">
        <v>1183</v>
      </c>
      <c r="H593" s="191" t="n">
        <v>1</v>
      </c>
      <c r="I593" s="106" t="s">
        <v>601</v>
      </c>
    </row>
    <row r="594" customFormat="false" ht="15" hidden="false" customHeight="false" outlineLevel="0" collapsed="false">
      <c r="A594" s="102" t="s">
        <v>1791</v>
      </c>
      <c r="B594" s="102" t="s">
        <v>501</v>
      </c>
      <c r="C594" s="177" t="s">
        <v>502</v>
      </c>
      <c r="D594" s="102" t="s">
        <v>12</v>
      </c>
      <c r="E594" s="177" t="s">
        <v>21</v>
      </c>
      <c r="F594" s="177" t="s">
        <v>1192</v>
      </c>
      <c r="G594" s="177" t="s">
        <v>1193</v>
      </c>
      <c r="H594" s="190" t="n">
        <v>1</v>
      </c>
      <c r="I594" s="102" t="s">
        <v>601</v>
      </c>
    </row>
    <row r="595" customFormat="false" ht="15" hidden="false" customHeight="false" outlineLevel="0" collapsed="false">
      <c r="A595" s="106" t="s">
        <v>1792</v>
      </c>
      <c r="B595" s="106" t="s">
        <v>501</v>
      </c>
      <c r="C595" s="179" t="s">
        <v>502</v>
      </c>
      <c r="D595" s="106" t="s">
        <v>12</v>
      </c>
      <c r="E595" s="179" t="s">
        <v>21</v>
      </c>
      <c r="F595" s="179" t="s">
        <v>1204</v>
      </c>
      <c r="G595" s="179" t="s">
        <v>1205</v>
      </c>
      <c r="H595" s="191" t="n">
        <v>1</v>
      </c>
      <c r="I595" s="106" t="s">
        <v>601</v>
      </c>
    </row>
    <row r="596" customFormat="false" ht="15" hidden="false" customHeight="false" outlineLevel="0" collapsed="false">
      <c r="A596" s="102" t="s">
        <v>1793</v>
      </c>
      <c r="B596" s="102" t="s">
        <v>501</v>
      </c>
      <c r="C596" s="177" t="s">
        <v>502</v>
      </c>
      <c r="D596" s="102" t="s">
        <v>12</v>
      </c>
      <c r="E596" s="177" t="s">
        <v>21</v>
      </c>
      <c r="F596" s="177" t="s">
        <v>1201</v>
      </c>
      <c r="G596" s="177" t="s">
        <v>20</v>
      </c>
      <c r="H596" s="190" t="n">
        <v>1</v>
      </c>
      <c r="I596" s="102" t="s">
        <v>601</v>
      </c>
    </row>
    <row r="597" customFormat="false" ht="15" hidden="false" customHeight="false" outlineLevel="0" collapsed="false">
      <c r="A597" s="106" t="s">
        <v>1794</v>
      </c>
      <c r="B597" s="106" t="s">
        <v>503</v>
      </c>
      <c r="C597" s="179" t="s">
        <v>504</v>
      </c>
      <c r="D597" s="106" t="s">
        <v>12</v>
      </c>
      <c r="E597" s="179" t="s">
        <v>21</v>
      </c>
      <c r="F597" s="179" t="s">
        <v>1187</v>
      </c>
      <c r="G597" s="179" t="s">
        <v>1188</v>
      </c>
      <c r="H597" s="191" t="n">
        <v>0.75</v>
      </c>
      <c r="I597" s="106" t="s">
        <v>1217</v>
      </c>
    </row>
    <row r="598" customFormat="false" ht="15" hidden="false" customHeight="false" outlineLevel="0" collapsed="false">
      <c r="A598" s="102" t="s">
        <v>1795</v>
      </c>
      <c r="B598" s="102" t="s">
        <v>503</v>
      </c>
      <c r="C598" s="177" t="s">
        <v>504</v>
      </c>
      <c r="D598" s="102" t="s">
        <v>12</v>
      </c>
      <c r="E598" s="177" t="s">
        <v>21</v>
      </c>
      <c r="F598" s="177" t="s">
        <v>1199</v>
      </c>
      <c r="G598" s="177" t="s">
        <v>1188</v>
      </c>
      <c r="H598" s="190" t="n">
        <v>0.5</v>
      </c>
      <c r="I598" s="102" t="s">
        <v>1217</v>
      </c>
    </row>
    <row r="599" customFormat="false" ht="15" hidden="false" customHeight="false" outlineLevel="0" collapsed="false">
      <c r="A599" s="106" t="s">
        <v>1796</v>
      </c>
      <c r="B599" s="106" t="s">
        <v>503</v>
      </c>
      <c r="C599" s="179" t="s">
        <v>504</v>
      </c>
      <c r="D599" s="106" t="s">
        <v>12</v>
      </c>
      <c r="E599" s="179" t="s">
        <v>21</v>
      </c>
      <c r="F599" s="179" t="s">
        <v>1208</v>
      </c>
      <c r="G599" s="179" t="s">
        <v>1209</v>
      </c>
      <c r="H599" s="191" t="n">
        <v>0.5</v>
      </c>
      <c r="I599" s="106" t="s">
        <v>1217</v>
      </c>
    </row>
    <row r="600" customFormat="false" ht="15" hidden="false" customHeight="false" outlineLevel="0" collapsed="false">
      <c r="A600" s="102" t="s">
        <v>1797</v>
      </c>
      <c r="B600" s="102" t="s">
        <v>503</v>
      </c>
      <c r="C600" s="177" t="s">
        <v>504</v>
      </c>
      <c r="D600" s="102" t="s">
        <v>12</v>
      </c>
      <c r="E600" s="177" t="s">
        <v>21</v>
      </c>
      <c r="F600" s="177" t="s">
        <v>1201</v>
      </c>
      <c r="G600" s="177" t="s">
        <v>20</v>
      </c>
      <c r="H600" s="190" t="n">
        <v>1</v>
      </c>
      <c r="I600" s="102" t="s">
        <v>601</v>
      </c>
    </row>
    <row r="601" customFormat="false" ht="15" hidden="false" customHeight="false" outlineLevel="0" collapsed="false">
      <c r="A601" s="106" t="s">
        <v>1798</v>
      </c>
      <c r="B601" s="106" t="s">
        <v>503</v>
      </c>
      <c r="C601" s="179" t="s">
        <v>504</v>
      </c>
      <c r="D601" s="106" t="s">
        <v>12</v>
      </c>
      <c r="E601" s="179" t="s">
        <v>21</v>
      </c>
      <c r="F601" s="179" t="s">
        <v>1204</v>
      </c>
      <c r="G601" s="179" t="s">
        <v>1205</v>
      </c>
      <c r="H601" s="191" t="n">
        <v>1</v>
      </c>
      <c r="I601" s="106" t="s">
        <v>601</v>
      </c>
    </row>
    <row r="602" customFormat="false" ht="15" hidden="false" customHeight="false" outlineLevel="0" collapsed="false">
      <c r="A602" s="102" t="s">
        <v>1799</v>
      </c>
      <c r="B602" s="102" t="s">
        <v>505</v>
      </c>
      <c r="C602" s="177" t="s">
        <v>126</v>
      </c>
      <c r="D602" s="102" t="s">
        <v>12</v>
      </c>
      <c r="E602" s="177" t="s">
        <v>22</v>
      </c>
      <c r="F602" s="177" t="s">
        <v>1187</v>
      </c>
      <c r="G602" s="177" t="s">
        <v>1188</v>
      </c>
      <c r="H602" s="190" t="n">
        <v>0.75</v>
      </c>
      <c r="I602" s="102" t="s">
        <v>1217</v>
      </c>
    </row>
    <row r="603" customFormat="false" ht="15" hidden="false" customHeight="false" outlineLevel="0" collapsed="false">
      <c r="A603" s="106" t="s">
        <v>1800</v>
      </c>
      <c r="B603" s="106" t="s">
        <v>505</v>
      </c>
      <c r="C603" s="179" t="s">
        <v>126</v>
      </c>
      <c r="D603" s="106" t="s">
        <v>12</v>
      </c>
      <c r="E603" s="179" t="s">
        <v>22</v>
      </c>
      <c r="F603" s="179" t="s">
        <v>1199</v>
      </c>
      <c r="G603" s="179" t="s">
        <v>1188</v>
      </c>
      <c r="H603" s="191" t="n">
        <v>1</v>
      </c>
      <c r="I603" s="106" t="s">
        <v>601</v>
      </c>
    </row>
    <row r="604" customFormat="false" ht="15" hidden="false" customHeight="false" outlineLevel="0" collapsed="false">
      <c r="A604" s="102" t="s">
        <v>1801</v>
      </c>
      <c r="B604" s="102" t="s">
        <v>505</v>
      </c>
      <c r="C604" s="177" t="s">
        <v>126</v>
      </c>
      <c r="D604" s="102" t="s">
        <v>12</v>
      </c>
      <c r="E604" s="177" t="s">
        <v>22</v>
      </c>
      <c r="F604" s="177" t="s">
        <v>1208</v>
      </c>
      <c r="G604" s="177" t="s">
        <v>1209</v>
      </c>
      <c r="H604" s="190" t="n">
        <v>1</v>
      </c>
      <c r="I604" s="102" t="s">
        <v>601</v>
      </c>
    </row>
    <row r="605" customFormat="false" ht="15" hidden="false" customHeight="false" outlineLevel="0" collapsed="false">
      <c r="A605" s="106" t="s">
        <v>1802</v>
      </c>
      <c r="B605" s="106" t="s">
        <v>505</v>
      </c>
      <c r="C605" s="179" t="s">
        <v>126</v>
      </c>
      <c r="D605" s="106" t="s">
        <v>12</v>
      </c>
      <c r="E605" s="179" t="s">
        <v>22</v>
      </c>
      <c r="F605" s="179" t="s">
        <v>1204</v>
      </c>
      <c r="G605" s="179" t="s">
        <v>1205</v>
      </c>
      <c r="H605" s="191" t="n">
        <v>1</v>
      </c>
      <c r="I605" s="106" t="s">
        <v>601</v>
      </c>
    </row>
    <row r="606" customFormat="false" ht="15" hidden="false" customHeight="false" outlineLevel="0" collapsed="false">
      <c r="A606" s="102" t="s">
        <v>1803</v>
      </c>
      <c r="B606" s="102" t="s">
        <v>505</v>
      </c>
      <c r="C606" s="177" t="s">
        <v>126</v>
      </c>
      <c r="D606" s="102" t="s">
        <v>12</v>
      </c>
      <c r="E606" s="177" t="s">
        <v>22</v>
      </c>
      <c r="F606" s="177" t="s">
        <v>1201</v>
      </c>
      <c r="G606" s="177" t="s">
        <v>20</v>
      </c>
      <c r="H606" s="190" t="n">
        <v>0.5</v>
      </c>
      <c r="I606" s="102" t="s">
        <v>1217</v>
      </c>
    </row>
    <row r="607" customFormat="false" ht="15" hidden="false" customHeight="false" outlineLevel="0" collapsed="false">
      <c r="A607" s="106" t="s">
        <v>1804</v>
      </c>
      <c r="B607" s="106" t="s">
        <v>505</v>
      </c>
      <c r="C607" s="179" t="s">
        <v>126</v>
      </c>
      <c r="D607" s="106" t="s">
        <v>12</v>
      </c>
      <c r="E607" s="179" t="s">
        <v>22</v>
      </c>
      <c r="F607" s="179" t="s">
        <v>1182</v>
      </c>
      <c r="G607" s="179" t="s">
        <v>1183</v>
      </c>
      <c r="H607" s="191" t="n">
        <v>1</v>
      </c>
      <c r="I607" s="106" t="s">
        <v>601</v>
      </c>
    </row>
    <row r="608" customFormat="false" ht="15" hidden="false" customHeight="false" outlineLevel="0" collapsed="false">
      <c r="A608" s="102" t="s">
        <v>1805</v>
      </c>
      <c r="B608" s="102" t="s">
        <v>506</v>
      </c>
      <c r="C608" s="177" t="s">
        <v>504</v>
      </c>
      <c r="D608" s="102" t="s">
        <v>12</v>
      </c>
      <c r="E608" s="177" t="s">
        <v>23</v>
      </c>
      <c r="F608" s="177" t="s">
        <v>1187</v>
      </c>
      <c r="G608" s="177" t="s">
        <v>1188</v>
      </c>
      <c r="H608" s="190" t="n">
        <v>1</v>
      </c>
      <c r="I608" s="102" t="s">
        <v>601</v>
      </c>
    </row>
    <row r="609" customFormat="false" ht="15" hidden="false" customHeight="false" outlineLevel="0" collapsed="false">
      <c r="A609" s="106" t="s">
        <v>1806</v>
      </c>
      <c r="B609" s="106" t="s">
        <v>506</v>
      </c>
      <c r="C609" s="179" t="s">
        <v>504</v>
      </c>
      <c r="D609" s="106" t="s">
        <v>12</v>
      </c>
      <c r="E609" s="179" t="s">
        <v>23</v>
      </c>
      <c r="F609" s="179" t="s">
        <v>1199</v>
      </c>
      <c r="G609" s="179" t="s">
        <v>1188</v>
      </c>
      <c r="H609" s="191" t="n">
        <v>0.25</v>
      </c>
      <c r="I609" s="106" t="s">
        <v>1222</v>
      </c>
    </row>
    <row r="610" customFormat="false" ht="15" hidden="false" customHeight="false" outlineLevel="0" collapsed="false">
      <c r="A610" s="102" t="s">
        <v>1807</v>
      </c>
      <c r="B610" s="102" t="s">
        <v>506</v>
      </c>
      <c r="C610" s="177" t="s">
        <v>504</v>
      </c>
      <c r="D610" s="102" t="s">
        <v>12</v>
      </c>
      <c r="E610" s="177" t="s">
        <v>23</v>
      </c>
      <c r="F610" s="177" t="s">
        <v>1208</v>
      </c>
      <c r="G610" s="177" t="s">
        <v>1209</v>
      </c>
      <c r="H610" s="190" t="n">
        <v>0.75</v>
      </c>
      <c r="I610" s="102" t="s">
        <v>1217</v>
      </c>
    </row>
    <row r="611" customFormat="false" ht="15" hidden="false" customHeight="false" outlineLevel="0" collapsed="false">
      <c r="A611" s="106" t="s">
        <v>1808</v>
      </c>
      <c r="B611" s="106" t="s">
        <v>506</v>
      </c>
      <c r="C611" s="179" t="s">
        <v>504</v>
      </c>
      <c r="D611" s="106" t="s">
        <v>12</v>
      </c>
      <c r="E611" s="179" t="s">
        <v>23</v>
      </c>
      <c r="F611" s="179" t="s">
        <v>1192</v>
      </c>
      <c r="G611" s="179" t="s">
        <v>1193</v>
      </c>
      <c r="H611" s="191" t="n">
        <v>1</v>
      </c>
      <c r="I611" s="106" t="s">
        <v>601</v>
      </c>
    </row>
    <row r="612" customFormat="false" ht="15" hidden="false" customHeight="false" outlineLevel="0" collapsed="false">
      <c r="A612" s="102" t="s">
        <v>1809</v>
      </c>
      <c r="B612" s="102" t="s">
        <v>506</v>
      </c>
      <c r="C612" s="177" t="s">
        <v>504</v>
      </c>
      <c r="D612" s="102" t="s">
        <v>12</v>
      </c>
      <c r="E612" s="177" t="s">
        <v>23</v>
      </c>
      <c r="F612" s="177" t="s">
        <v>1182</v>
      </c>
      <c r="G612" s="177" t="s">
        <v>1183</v>
      </c>
      <c r="H612" s="190" t="n">
        <v>0.5</v>
      </c>
      <c r="I612" s="102" t="s">
        <v>1217</v>
      </c>
    </row>
    <row r="613" customFormat="false" ht="15" hidden="false" customHeight="false" outlineLevel="0" collapsed="false">
      <c r="A613" s="106" t="s">
        <v>1810</v>
      </c>
      <c r="B613" s="106" t="s">
        <v>507</v>
      </c>
      <c r="C613" s="179" t="s">
        <v>508</v>
      </c>
      <c r="D613" s="106" t="s">
        <v>12</v>
      </c>
      <c r="E613" s="179" t="s">
        <v>23</v>
      </c>
      <c r="F613" s="179" t="s">
        <v>1187</v>
      </c>
      <c r="G613" s="179" t="s">
        <v>1188</v>
      </c>
      <c r="H613" s="191" t="n">
        <v>1</v>
      </c>
      <c r="I613" s="106" t="s">
        <v>601</v>
      </c>
    </row>
    <row r="614" customFormat="false" ht="15" hidden="false" customHeight="false" outlineLevel="0" collapsed="false">
      <c r="A614" s="102" t="s">
        <v>1811</v>
      </c>
      <c r="B614" s="102" t="s">
        <v>507</v>
      </c>
      <c r="C614" s="177" t="s">
        <v>508</v>
      </c>
      <c r="D614" s="102" t="s">
        <v>12</v>
      </c>
      <c r="E614" s="177" t="s">
        <v>23</v>
      </c>
      <c r="F614" s="177" t="s">
        <v>1199</v>
      </c>
      <c r="G614" s="177" t="s">
        <v>1188</v>
      </c>
      <c r="H614" s="190" t="n">
        <v>1</v>
      </c>
      <c r="I614" s="102" t="s">
        <v>601</v>
      </c>
    </row>
    <row r="615" customFormat="false" ht="15" hidden="false" customHeight="false" outlineLevel="0" collapsed="false">
      <c r="A615" s="106" t="s">
        <v>1812</v>
      </c>
      <c r="B615" s="106" t="s">
        <v>507</v>
      </c>
      <c r="C615" s="179" t="s">
        <v>508</v>
      </c>
      <c r="D615" s="106" t="s">
        <v>12</v>
      </c>
      <c r="E615" s="179" t="s">
        <v>23</v>
      </c>
      <c r="F615" s="179" t="s">
        <v>1208</v>
      </c>
      <c r="G615" s="179" t="s">
        <v>1209</v>
      </c>
      <c r="H615" s="191" t="n">
        <v>1</v>
      </c>
      <c r="I615" s="106" t="s">
        <v>601</v>
      </c>
    </row>
    <row r="616" customFormat="false" ht="15" hidden="false" customHeight="false" outlineLevel="0" collapsed="false">
      <c r="A616" s="102" t="s">
        <v>1813</v>
      </c>
      <c r="B616" s="102" t="s">
        <v>507</v>
      </c>
      <c r="C616" s="177" t="s">
        <v>508</v>
      </c>
      <c r="D616" s="102" t="s">
        <v>12</v>
      </c>
      <c r="E616" s="177" t="s">
        <v>23</v>
      </c>
      <c r="F616" s="177" t="s">
        <v>1201</v>
      </c>
      <c r="G616" s="177" t="s">
        <v>20</v>
      </c>
      <c r="H616" s="190" t="n">
        <v>0</v>
      </c>
      <c r="I616" s="102" t="s">
        <v>1222</v>
      </c>
    </row>
    <row r="617" customFormat="false" ht="15" hidden="false" customHeight="false" outlineLevel="0" collapsed="false">
      <c r="A617" s="106" t="s">
        <v>1814</v>
      </c>
      <c r="B617" s="106" t="s">
        <v>507</v>
      </c>
      <c r="C617" s="179" t="s">
        <v>508</v>
      </c>
      <c r="D617" s="106" t="s">
        <v>12</v>
      </c>
      <c r="E617" s="179" t="s">
        <v>23</v>
      </c>
      <c r="F617" s="179" t="s">
        <v>1182</v>
      </c>
      <c r="G617" s="179" t="s">
        <v>1183</v>
      </c>
      <c r="H617" s="191" t="n">
        <v>1</v>
      </c>
      <c r="I617" s="106" t="s">
        <v>601</v>
      </c>
    </row>
    <row r="618" customFormat="false" ht="15" hidden="false" customHeight="false" outlineLevel="0" collapsed="false">
      <c r="A618" s="102" t="s">
        <v>1815</v>
      </c>
      <c r="B618" s="102" t="s">
        <v>507</v>
      </c>
      <c r="C618" s="177" t="s">
        <v>508</v>
      </c>
      <c r="D618" s="102" t="s">
        <v>12</v>
      </c>
      <c r="E618" s="177" t="s">
        <v>23</v>
      </c>
      <c r="F618" s="177" t="s">
        <v>1195</v>
      </c>
      <c r="G618" s="177" t="s">
        <v>1196</v>
      </c>
      <c r="H618" s="190" t="n">
        <v>1</v>
      </c>
      <c r="I618" s="102" t="s">
        <v>601</v>
      </c>
    </row>
    <row r="619" customFormat="false" ht="15" hidden="false" customHeight="false" outlineLevel="0" collapsed="false">
      <c r="A619" s="106" t="s">
        <v>1816</v>
      </c>
      <c r="B619" s="106" t="s">
        <v>507</v>
      </c>
      <c r="C619" s="179" t="s">
        <v>508</v>
      </c>
      <c r="D619" s="106" t="s">
        <v>12</v>
      </c>
      <c r="E619" s="179" t="s">
        <v>23</v>
      </c>
      <c r="F619" s="179" t="s">
        <v>1204</v>
      </c>
      <c r="G619" s="179" t="s">
        <v>1205</v>
      </c>
      <c r="H619" s="191" t="n">
        <v>1</v>
      </c>
      <c r="I619" s="106" t="s">
        <v>601</v>
      </c>
    </row>
    <row r="620" customFormat="false" ht="15" hidden="false" customHeight="false" outlineLevel="0" collapsed="false">
      <c r="A620" s="102" t="s">
        <v>1817</v>
      </c>
      <c r="B620" s="102" t="s">
        <v>86</v>
      </c>
      <c r="C620" s="177" t="s">
        <v>87</v>
      </c>
      <c r="D620" s="102" t="s">
        <v>12</v>
      </c>
      <c r="E620" s="177" t="s">
        <v>15</v>
      </c>
      <c r="F620" s="177" t="s">
        <v>1187</v>
      </c>
      <c r="G620" s="177" t="s">
        <v>1188</v>
      </c>
      <c r="H620" s="190" t="n">
        <v>1</v>
      </c>
      <c r="I620" s="102" t="s">
        <v>601</v>
      </c>
    </row>
    <row r="621" customFormat="false" ht="15" hidden="false" customHeight="false" outlineLevel="0" collapsed="false">
      <c r="A621" s="106" t="s">
        <v>1818</v>
      </c>
      <c r="B621" s="106" t="s">
        <v>86</v>
      </c>
      <c r="C621" s="179" t="s">
        <v>87</v>
      </c>
      <c r="D621" s="106" t="s">
        <v>12</v>
      </c>
      <c r="E621" s="179" t="s">
        <v>15</v>
      </c>
      <c r="F621" s="179" t="s">
        <v>1199</v>
      </c>
      <c r="G621" s="179" t="s">
        <v>1188</v>
      </c>
      <c r="H621" s="191" t="n">
        <v>1</v>
      </c>
      <c r="I621" s="106" t="s">
        <v>601</v>
      </c>
    </row>
    <row r="622" customFormat="false" ht="15" hidden="false" customHeight="false" outlineLevel="0" collapsed="false">
      <c r="A622" s="102" t="s">
        <v>1819</v>
      </c>
      <c r="B622" s="102" t="s">
        <v>86</v>
      </c>
      <c r="C622" s="177" t="s">
        <v>87</v>
      </c>
      <c r="D622" s="102" t="s">
        <v>12</v>
      </c>
      <c r="E622" s="177" t="s">
        <v>15</v>
      </c>
      <c r="F622" s="177" t="s">
        <v>1208</v>
      </c>
      <c r="G622" s="177" t="s">
        <v>1209</v>
      </c>
      <c r="H622" s="190" t="n">
        <v>1</v>
      </c>
      <c r="I622" s="102" t="s">
        <v>601</v>
      </c>
    </row>
    <row r="623" customFormat="false" ht="15" hidden="false" customHeight="false" outlineLevel="0" collapsed="false">
      <c r="A623" s="106" t="s">
        <v>1820</v>
      </c>
      <c r="B623" s="106" t="s">
        <v>86</v>
      </c>
      <c r="C623" s="179" t="s">
        <v>87</v>
      </c>
      <c r="D623" s="106" t="s">
        <v>12</v>
      </c>
      <c r="E623" s="179" t="s">
        <v>15</v>
      </c>
      <c r="F623" s="179" t="s">
        <v>1182</v>
      </c>
      <c r="G623" s="179" t="s">
        <v>1183</v>
      </c>
      <c r="H623" s="191" t="n">
        <v>0</v>
      </c>
      <c r="I623" s="106" t="s">
        <v>1222</v>
      </c>
    </row>
    <row r="624" customFormat="false" ht="15" hidden="false" customHeight="false" outlineLevel="0" collapsed="false">
      <c r="A624" s="102" t="s">
        <v>1821</v>
      </c>
      <c r="B624" s="102" t="s">
        <v>86</v>
      </c>
      <c r="C624" s="177" t="s">
        <v>87</v>
      </c>
      <c r="D624" s="102" t="s">
        <v>12</v>
      </c>
      <c r="E624" s="177" t="s">
        <v>15</v>
      </c>
      <c r="F624" s="177" t="s">
        <v>1195</v>
      </c>
      <c r="G624" s="177" t="s">
        <v>1196</v>
      </c>
      <c r="H624" s="190" t="n">
        <v>0.5</v>
      </c>
      <c r="I624" s="102" t="s">
        <v>1217</v>
      </c>
    </row>
    <row r="625" customFormat="false" ht="15" hidden="false" customHeight="false" outlineLevel="0" collapsed="false">
      <c r="A625" s="106" t="s">
        <v>1822</v>
      </c>
      <c r="B625" s="106" t="s">
        <v>86</v>
      </c>
      <c r="C625" s="179" t="s">
        <v>87</v>
      </c>
      <c r="D625" s="106" t="s">
        <v>12</v>
      </c>
      <c r="E625" s="179" t="s">
        <v>15</v>
      </c>
      <c r="F625" s="179" t="s">
        <v>1204</v>
      </c>
      <c r="G625" s="179" t="s">
        <v>1205</v>
      </c>
      <c r="H625" s="191" t="n">
        <v>1</v>
      </c>
      <c r="I625" s="106" t="s">
        <v>601</v>
      </c>
    </row>
    <row r="626" customFormat="false" ht="15" hidden="false" customHeight="false" outlineLevel="0" collapsed="false">
      <c r="A626" s="102" t="s">
        <v>1823</v>
      </c>
      <c r="B626" s="102" t="s">
        <v>510</v>
      </c>
      <c r="C626" s="177" t="s">
        <v>511</v>
      </c>
      <c r="D626" s="102" t="s">
        <v>12</v>
      </c>
      <c r="E626" s="177" t="s">
        <v>15</v>
      </c>
      <c r="F626" s="177" t="s">
        <v>1187</v>
      </c>
      <c r="G626" s="177" t="s">
        <v>1188</v>
      </c>
      <c r="H626" s="190" t="n">
        <v>1</v>
      </c>
      <c r="I626" s="102" t="s">
        <v>601</v>
      </c>
    </row>
    <row r="627" customFormat="false" ht="15" hidden="false" customHeight="false" outlineLevel="0" collapsed="false">
      <c r="A627" s="106" t="s">
        <v>1824</v>
      </c>
      <c r="B627" s="106" t="s">
        <v>510</v>
      </c>
      <c r="C627" s="179" t="s">
        <v>511</v>
      </c>
      <c r="D627" s="106" t="s">
        <v>12</v>
      </c>
      <c r="E627" s="179" t="s">
        <v>15</v>
      </c>
      <c r="F627" s="179" t="s">
        <v>1199</v>
      </c>
      <c r="G627" s="179" t="s">
        <v>1188</v>
      </c>
      <c r="H627" s="191" t="n">
        <v>0.5</v>
      </c>
      <c r="I627" s="106" t="s">
        <v>1217</v>
      </c>
    </row>
    <row r="628" customFormat="false" ht="15" hidden="false" customHeight="false" outlineLevel="0" collapsed="false">
      <c r="A628" s="102" t="s">
        <v>1825</v>
      </c>
      <c r="B628" s="102" t="s">
        <v>510</v>
      </c>
      <c r="C628" s="177" t="s">
        <v>511</v>
      </c>
      <c r="D628" s="102" t="s">
        <v>12</v>
      </c>
      <c r="E628" s="177" t="s">
        <v>15</v>
      </c>
      <c r="F628" s="177" t="s">
        <v>1208</v>
      </c>
      <c r="G628" s="177" t="s">
        <v>1209</v>
      </c>
      <c r="H628" s="190" t="n">
        <v>0</v>
      </c>
      <c r="I628" s="102" t="s">
        <v>1222</v>
      </c>
    </row>
    <row r="629" customFormat="false" ht="15" hidden="false" customHeight="false" outlineLevel="0" collapsed="false">
      <c r="A629" s="106" t="s">
        <v>1826</v>
      </c>
      <c r="B629" s="106" t="s">
        <v>510</v>
      </c>
      <c r="C629" s="179" t="s">
        <v>511</v>
      </c>
      <c r="D629" s="106" t="s">
        <v>12</v>
      </c>
      <c r="E629" s="179" t="s">
        <v>15</v>
      </c>
      <c r="F629" s="179" t="s">
        <v>1192</v>
      </c>
      <c r="G629" s="179" t="s">
        <v>1193</v>
      </c>
      <c r="H629" s="191" t="n">
        <v>1</v>
      </c>
      <c r="I629" s="106" t="s">
        <v>601</v>
      </c>
    </row>
    <row r="630" customFormat="false" ht="15" hidden="false" customHeight="false" outlineLevel="0" collapsed="false">
      <c r="A630" s="102" t="s">
        <v>1827</v>
      </c>
      <c r="B630" s="102" t="s">
        <v>510</v>
      </c>
      <c r="C630" s="177" t="s">
        <v>511</v>
      </c>
      <c r="D630" s="102" t="s">
        <v>12</v>
      </c>
      <c r="E630" s="177" t="s">
        <v>15</v>
      </c>
      <c r="F630" s="177" t="s">
        <v>1195</v>
      </c>
      <c r="G630" s="177" t="s">
        <v>1196</v>
      </c>
      <c r="H630" s="190" t="n">
        <v>1</v>
      </c>
      <c r="I630" s="102" t="s">
        <v>601</v>
      </c>
    </row>
    <row r="631" customFormat="false" ht="15" hidden="false" customHeight="false" outlineLevel="0" collapsed="false">
      <c r="A631" s="106" t="s">
        <v>1828</v>
      </c>
      <c r="B631" s="106" t="s">
        <v>510</v>
      </c>
      <c r="C631" s="179" t="s">
        <v>511</v>
      </c>
      <c r="D631" s="106" t="s">
        <v>12</v>
      </c>
      <c r="E631" s="179" t="s">
        <v>15</v>
      </c>
      <c r="F631" s="179" t="s">
        <v>1201</v>
      </c>
      <c r="G631" s="179" t="s">
        <v>20</v>
      </c>
      <c r="H631" s="191" t="n">
        <v>1</v>
      </c>
      <c r="I631" s="106" t="s">
        <v>601</v>
      </c>
    </row>
    <row r="632" customFormat="false" ht="15" hidden="false" customHeight="false" outlineLevel="0" collapsed="false">
      <c r="A632" s="102" t="s">
        <v>1829</v>
      </c>
      <c r="B632" s="102" t="s">
        <v>510</v>
      </c>
      <c r="C632" s="177" t="s">
        <v>511</v>
      </c>
      <c r="D632" s="102" t="s">
        <v>12</v>
      </c>
      <c r="E632" s="177" t="s">
        <v>15</v>
      </c>
      <c r="F632" s="177" t="s">
        <v>1204</v>
      </c>
      <c r="G632" s="177" t="s">
        <v>1205</v>
      </c>
      <c r="H632" s="190" t="n">
        <v>1</v>
      </c>
      <c r="I632" s="102" t="s">
        <v>601</v>
      </c>
    </row>
    <row r="633" customFormat="false" ht="15" hidden="false" customHeight="false" outlineLevel="0" collapsed="false">
      <c r="A633" s="106" t="s">
        <v>1830</v>
      </c>
      <c r="B633" s="106" t="s">
        <v>82</v>
      </c>
      <c r="C633" s="179" t="s">
        <v>83</v>
      </c>
      <c r="D633" s="106" t="s">
        <v>12</v>
      </c>
      <c r="E633" s="179" t="s">
        <v>16</v>
      </c>
      <c r="F633" s="179" t="s">
        <v>1187</v>
      </c>
      <c r="G633" s="179" t="s">
        <v>1188</v>
      </c>
      <c r="H633" s="191" t="n">
        <v>1</v>
      </c>
      <c r="I633" s="106" t="s">
        <v>601</v>
      </c>
    </row>
    <row r="634" customFormat="false" ht="15" hidden="false" customHeight="false" outlineLevel="0" collapsed="false">
      <c r="A634" s="102" t="s">
        <v>1831</v>
      </c>
      <c r="B634" s="102" t="s">
        <v>82</v>
      </c>
      <c r="C634" s="177" t="s">
        <v>83</v>
      </c>
      <c r="D634" s="102" t="s">
        <v>12</v>
      </c>
      <c r="E634" s="177" t="s">
        <v>16</v>
      </c>
      <c r="F634" s="177" t="s">
        <v>1199</v>
      </c>
      <c r="G634" s="177" t="s">
        <v>1188</v>
      </c>
      <c r="H634" s="190" t="n">
        <v>0.25</v>
      </c>
      <c r="I634" s="102" t="s">
        <v>1222</v>
      </c>
    </row>
    <row r="635" customFormat="false" ht="15" hidden="false" customHeight="false" outlineLevel="0" collapsed="false">
      <c r="A635" s="106" t="s">
        <v>1832</v>
      </c>
      <c r="B635" s="106" t="s">
        <v>82</v>
      </c>
      <c r="C635" s="179" t="s">
        <v>83</v>
      </c>
      <c r="D635" s="106" t="s">
        <v>12</v>
      </c>
      <c r="E635" s="179" t="s">
        <v>16</v>
      </c>
      <c r="F635" s="179" t="s">
        <v>1208</v>
      </c>
      <c r="G635" s="179" t="s">
        <v>1209</v>
      </c>
      <c r="H635" s="191" t="n">
        <v>0.75</v>
      </c>
      <c r="I635" s="106" t="s">
        <v>1217</v>
      </c>
    </row>
    <row r="636" customFormat="false" ht="15" hidden="false" customHeight="false" outlineLevel="0" collapsed="false">
      <c r="A636" s="102" t="s">
        <v>1833</v>
      </c>
      <c r="B636" s="102" t="s">
        <v>82</v>
      </c>
      <c r="C636" s="177" t="s">
        <v>83</v>
      </c>
      <c r="D636" s="102" t="s">
        <v>12</v>
      </c>
      <c r="E636" s="177" t="s">
        <v>16</v>
      </c>
      <c r="F636" s="177" t="s">
        <v>1192</v>
      </c>
      <c r="G636" s="177" t="s">
        <v>1193</v>
      </c>
      <c r="H636" s="190" t="n">
        <v>0.75</v>
      </c>
      <c r="I636" s="102" t="s">
        <v>1217</v>
      </c>
    </row>
    <row r="637" customFormat="false" ht="15" hidden="false" customHeight="false" outlineLevel="0" collapsed="false">
      <c r="A637" s="106" t="s">
        <v>1834</v>
      </c>
      <c r="B637" s="106" t="s">
        <v>82</v>
      </c>
      <c r="C637" s="179" t="s">
        <v>83</v>
      </c>
      <c r="D637" s="106" t="s">
        <v>12</v>
      </c>
      <c r="E637" s="179" t="s">
        <v>16</v>
      </c>
      <c r="F637" s="179" t="s">
        <v>1195</v>
      </c>
      <c r="G637" s="179" t="s">
        <v>1196</v>
      </c>
      <c r="H637" s="191" t="n">
        <v>1</v>
      </c>
      <c r="I637" s="106" t="s">
        <v>601</v>
      </c>
    </row>
    <row r="638" customFormat="false" ht="15" hidden="false" customHeight="false" outlineLevel="0" collapsed="false">
      <c r="A638" s="102" t="s">
        <v>1835</v>
      </c>
      <c r="B638" s="102" t="s">
        <v>512</v>
      </c>
      <c r="C638" s="177" t="s">
        <v>513</v>
      </c>
      <c r="D638" s="102" t="s">
        <v>12</v>
      </c>
      <c r="E638" s="177" t="s">
        <v>16</v>
      </c>
      <c r="F638" s="177" t="s">
        <v>1187</v>
      </c>
      <c r="G638" s="177" t="s">
        <v>1188</v>
      </c>
      <c r="H638" s="190" t="n">
        <v>1</v>
      </c>
      <c r="I638" s="102" t="s">
        <v>601</v>
      </c>
    </row>
    <row r="639" customFormat="false" ht="15" hidden="false" customHeight="false" outlineLevel="0" collapsed="false">
      <c r="A639" s="106" t="s">
        <v>1836</v>
      </c>
      <c r="B639" s="106" t="s">
        <v>512</v>
      </c>
      <c r="C639" s="179" t="s">
        <v>513</v>
      </c>
      <c r="D639" s="106" t="s">
        <v>12</v>
      </c>
      <c r="E639" s="179" t="s">
        <v>16</v>
      </c>
      <c r="F639" s="179" t="s">
        <v>1199</v>
      </c>
      <c r="G639" s="179" t="s">
        <v>1188</v>
      </c>
      <c r="H639" s="191" t="n">
        <v>1</v>
      </c>
      <c r="I639" s="106" t="s">
        <v>601</v>
      </c>
    </row>
    <row r="640" customFormat="false" ht="15" hidden="false" customHeight="false" outlineLevel="0" collapsed="false">
      <c r="A640" s="102" t="s">
        <v>1837</v>
      </c>
      <c r="B640" s="102" t="s">
        <v>512</v>
      </c>
      <c r="C640" s="177" t="s">
        <v>513</v>
      </c>
      <c r="D640" s="102" t="s">
        <v>12</v>
      </c>
      <c r="E640" s="177" t="s">
        <v>16</v>
      </c>
      <c r="F640" s="177" t="s">
        <v>1208</v>
      </c>
      <c r="G640" s="177" t="s">
        <v>1209</v>
      </c>
      <c r="H640" s="190" t="n">
        <v>1</v>
      </c>
      <c r="I640" s="102" t="s">
        <v>601</v>
      </c>
    </row>
    <row r="641" customFormat="false" ht="15" hidden="false" customHeight="false" outlineLevel="0" collapsed="false">
      <c r="A641" s="106" t="s">
        <v>1838</v>
      </c>
      <c r="B641" s="106" t="s">
        <v>512</v>
      </c>
      <c r="C641" s="179" t="s">
        <v>513</v>
      </c>
      <c r="D641" s="106" t="s">
        <v>12</v>
      </c>
      <c r="E641" s="179" t="s">
        <v>16</v>
      </c>
      <c r="F641" s="179" t="s">
        <v>1195</v>
      </c>
      <c r="G641" s="179" t="s">
        <v>1196</v>
      </c>
      <c r="H641" s="191" t="n">
        <v>1</v>
      </c>
      <c r="I641" s="106" t="s">
        <v>601</v>
      </c>
    </row>
    <row r="642" customFormat="false" ht="15" hidden="false" customHeight="false" outlineLevel="0" collapsed="false">
      <c r="A642" s="102" t="s">
        <v>1839</v>
      </c>
      <c r="B642" s="102" t="s">
        <v>512</v>
      </c>
      <c r="C642" s="177" t="s">
        <v>513</v>
      </c>
      <c r="D642" s="102" t="s">
        <v>12</v>
      </c>
      <c r="E642" s="177" t="s">
        <v>16</v>
      </c>
      <c r="F642" s="177" t="s">
        <v>1201</v>
      </c>
      <c r="G642" s="177" t="s">
        <v>20</v>
      </c>
      <c r="H642" s="190" t="n">
        <v>1</v>
      </c>
      <c r="I642" s="102" t="s">
        <v>601</v>
      </c>
    </row>
    <row r="643" customFormat="false" ht="15" hidden="false" customHeight="false" outlineLevel="0" collapsed="false">
      <c r="A643" s="106" t="s">
        <v>1840</v>
      </c>
      <c r="B643" s="106" t="s">
        <v>512</v>
      </c>
      <c r="C643" s="179" t="s">
        <v>513</v>
      </c>
      <c r="D643" s="106" t="s">
        <v>12</v>
      </c>
      <c r="E643" s="179" t="s">
        <v>16</v>
      </c>
      <c r="F643" s="179" t="s">
        <v>1192</v>
      </c>
      <c r="G643" s="179" t="s">
        <v>1193</v>
      </c>
      <c r="H643" s="191" t="n">
        <v>1</v>
      </c>
      <c r="I643" s="106" t="s">
        <v>601</v>
      </c>
    </row>
    <row r="644" customFormat="false" ht="15" hidden="false" customHeight="false" outlineLevel="0" collapsed="false">
      <c r="A644" s="102" t="s">
        <v>1841</v>
      </c>
      <c r="B644" s="102" t="s">
        <v>514</v>
      </c>
      <c r="C644" s="177" t="s">
        <v>515</v>
      </c>
      <c r="D644" s="102" t="s">
        <v>12</v>
      </c>
      <c r="E644" s="177" t="s">
        <v>16</v>
      </c>
      <c r="F644" s="177" t="s">
        <v>1187</v>
      </c>
      <c r="G644" s="177" t="s">
        <v>1188</v>
      </c>
      <c r="H644" s="190" t="n">
        <v>1</v>
      </c>
      <c r="I644" s="102" t="s">
        <v>601</v>
      </c>
    </row>
    <row r="645" customFormat="false" ht="15" hidden="false" customHeight="false" outlineLevel="0" collapsed="false">
      <c r="A645" s="106" t="s">
        <v>1842</v>
      </c>
      <c r="B645" s="106" t="s">
        <v>514</v>
      </c>
      <c r="C645" s="179" t="s">
        <v>515</v>
      </c>
      <c r="D645" s="106" t="s">
        <v>12</v>
      </c>
      <c r="E645" s="179" t="s">
        <v>16</v>
      </c>
      <c r="F645" s="179" t="s">
        <v>1199</v>
      </c>
      <c r="G645" s="179" t="s">
        <v>1188</v>
      </c>
      <c r="H645" s="191" t="n">
        <v>1</v>
      </c>
      <c r="I645" s="106" t="s">
        <v>601</v>
      </c>
    </row>
    <row r="646" customFormat="false" ht="15" hidden="false" customHeight="false" outlineLevel="0" collapsed="false">
      <c r="A646" s="102" t="s">
        <v>1843</v>
      </c>
      <c r="B646" s="102" t="s">
        <v>514</v>
      </c>
      <c r="C646" s="177" t="s">
        <v>515</v>
      </c>
      <c r="D646" s="102" t="s">
        <v>12</v>
      </c>
      <c r="E646" s="177" t="s">
        <v>16</v>
      </c>
      <c r="F646" s="177" t="s">
        <v>1208</v>
      </c>
      <c r="G646" s="177" t="s">
        <v>1209</v>
      </c>
      <c r="H646" s="190" t="n">
        <v>1</v>
      </c>
      <c r="I646" s="102" t="s">
        <v>601</v>
      </c>
    </row>
    <row r="647" customFormat="false" ht="15" hidden="false" customHeight="false" outlineLevel="0" collapsed="false">
      <c r="A647" s="106" t="s">
        <v>1844</v>
      </c>
      <c r="B647" s="106" t="s">
        <v>514</v>
      </c>
      <c r="C647" s="179" t="s">
        <v>515</v>
      </c>
      <c r="D647" s="106" t="s">
        <v>12</v>
      </c>
      <c r="E647" s="179" t="s">
        <v>16</v>
      </c>
      <c r="F647" s="179" t="s">
        <v>1195</v>
      </c>
      <c r="G647" s="179" t="s">
        <v>1196</v>
      </c>
      <c r="H647" s="191" t="n">
        <v>1</v>
      </c>
      <c r="I647" s="106" t="s">
        <v>601</v>
      </c>
    </row>
    <row r="648" customFormat="false" ht="15" hidden="false" customHeight="false" outlineLevel="0" collapsed="false">
      <c r="A648" s="102" t="s">
        <v>1845</v>
      </c>
      <c r="B648" s="102" t="s">
        <v>514</v>
      </c>
      <c r="C648" s="177" t="s">
        <v>515</v>
      </c>
      <c r="D648" s="102" t="s">
        <v>12</v>
      </c>
      <c r="E648" s="177" t="s">
        <v>16</v>
      </c>
      <c r="F648" s="177" t="s">
        <v>1204</v>
      </c>
      <c r="G648" s="177" t="s">
        <v>1205</v>
      </c>
      <c r="H648" s="190" t="n">
        <v>1</v>
      </c>
      <c r="I648" s="102" t="s">
        <v>601</v>
      </c>
    </row>
    <row r="649" customFormat="false" ht="15" hidden="false" customHeight="false" outlineLevel="0" collapsed="false">
      <c r="A649" s="106" t="s">
        <v>1846</v>
      </c>
      <c r="B649" s="106" t="s">
        <v>514</v>
      </c>
      <c r="C649" s="179" t="s">
        <v>515</v>
      </c>
      <c r="D649" s="106" t="s">
        <v>12</v>
      </c>
      <c r="E649" s="179" t="s">
        <v>16</v>
      </c>
      <c r="F649" s="179" t="s">
        <v>1192</v>
      </c>
      <c r="G649" s="179" t="s">
        <v>1193</v>
      </c>
      <c r="H649" s="191" t="n">
        <v>1</v>
      </c>
      <c r="I649" s="106" t="s">
        <v>601</v>
      </c>
    </row>
    <row r="650" customFormat="false" ht="15" hidden="false" customHeight="false" outlineLevel="0" collapsed="false">
      <c r="A650" s="102" t="s">
        <v>1847</v>
      </c>
      <c r="B650" s="102" t="s">
        <v>514</v>
      </c>
      <c r="C650" s="177" t="s">
        <v>515</v>
      </c>
      <c r="D650" s="102" t="s">
        <v>12</v>
      </c>
      <c r="E650" s="177" t="s">
        <v>16</v>
      </c>
      <c r="F650" s="177" t="s">
        <v>1182</v>
      </c>
      <c r="G650" s="177" t="s">
        <v>1183</v>
      </c>
      <c r="H650" s="190" t="n">
        <v>0</v>
      </c>
      <c r="I650" s="102" t="s">
        <v>1222</v>
      </c>
    </row>
    <row r="651" customFormat="false" ht="15" hidden="false" customHeight="false" outlineLevel="0" collapsed="false">
      <c r="A651" s="106" t="s">
        <v>1848</v>
      </c>
      <c r="B651" s="106" t="s">
        <v>516</v>
      </c>
      <c r="C651" s="179" t="s">
        <v>517</v>
      </c>
      <c r="D651" s="106" t="s">
        <v>12</v>
      </c>
      <c r="E651" s="179" t="s">
        <v>16</v>
      </c>
      <c r="F651" s="179" t="s">
        <v>1187</v>
      </c>
      <c r="G651" s="179" t="s">
        <v>1188</v>
      </c>
      <c r="H651" s="191" t="n">
        <v>0.25</v>
      </c>
      <c r="I651" s="106" t="s">
        <v>1222</v>
      </c>
    </row>
    <row r="652" customFormat="false" ht="15" hidden="false" customHeight="false" outlineLevel="0" collapsed="false">
      <c r="A652" s="102" t="s">
        <v>1849</v>
      </c>
      <c r="B652" s="102" t="s">
        <v>516</v>
      </c>
      <c r="C652" s="177" t="s">
        <v>517</v>
      </c>
      <c r="D652" s="102" t="s">
        <v>12</v>
      </c>
      <c r="E652" s="177" t="s">
        <v>16</v>
      </c>
      <c r="F652" s="177" t="s">
        <v>1199</v>
      </c>
      <c r="G652" s="177" t="s">
        <v>1188</v>
      </c>
      <c r="H652" s="190" t="n">
        <v>0.5</v>
      </c>
      <c r="I652" s="102" t="s">
        <v>1217</v>
      </c>
    </row>
    <row r="653" customFormat="false" ht="15" hidden="false" customHeight="false" outlineLevel="0" collapsed="false">
      <c r="A653" s="106" t="s">
        <v>1850</v>
      </c>
      <c r="B653" s="106" t="s">
        <v>516</v>
      </c>
      <c r="C653" s="179" t="s">
        <v>517</v>
      </c>
      <c r="D653" s="106" t="s">
        <v>12</v>
      </c>
      <c r="E653" s="179" t="s">
        <v>16</v>
      </c>
      <c r="F653" s="179" t="s">
        <v>1208</v>
      </c>
      <c r="G653" s="179" t="s">
        <v>1209</v>
      </c>
      <c r="H653" s="191" t="n">
        <v>0.5</v>
      </c>
      <c r="I653" s="106" t="s">
        <v>1217</v>
      </c>
    </row>
    <row r="654" customFormat="false" ht="15" hidden="false" customHeight="false" outlineLevel="0" collapsed="false">
      <c r="A654" s="102" t="s">
        <v>1851</v>
      </c>
      <c r="B654" s="102" t="s">
        <v>516</v>
      </c>
      <c r="C654" s="177" t="s">
        <v>517</v>
      </c>
      <c r="D654" s="102" t="s">
        <v>12</v>
      </c>
      <c r="E654" s="177" t="s">
        <v>16</v>
      </c>
      <c r="F654" s="177" t="s">
        <v>1195</v>
      </c>
      <c r="G654" s="177" t="s">
        <v>1196</v>
      </c>
      <c r="H654" s="190" t="n">
        <v>1</v>
      </c>
      <c r="I654" s="102" t="s">
        <v>601</v>
      </c>
    </row>
    <row r="655" customFormat="false" ht="15" hidden="false" customHeight="false" outlineLevel="0" collapsed="false">
      <c r="A655" s="106" t="s">
        <v>1852</v>
      </c>
      <c r="B655" s="106" t="s">
        <v>516</v>
      </c>
      <c r="C655" s="179" t="s">
        <v>517</v>
      </c>
      <c r="D655" s="106" t="s">
        <v>12</v>
      </c>
      <c r="E655" s="179" t="s">
        <v>16</v>
      </c>
      <c r="F655" s="179" t="s">
        <v>1192</v>
      </c>
      <c r="G655" s="179" t="s">
        <v>1193</v>
      </c>
      <c r="H655" s="191" t="n">
        <v>1</v>
      </c>
      <c r="I655" s="106" t="s">
        <v>601</v>
      </c>
    </row>
    <row r="656" customFormat="false" ht="15" hidden="false" customHeight="false" outlineLevel="0" collapsed="false">
      <c r="A656" s="102" t="s">
        <v>1853</v>
      </c>
      <c r="B656" s="102" t="s">
        <v>516</v>
      </c>
      <c r="C656" s="177" t="s">
        <v>517</v>
      </c>
      <c r="D656" s="102" t="s">
        <v>12</v>
      </c>
      <c r="E656" s="177" t="s">
        <v>16</v>
      </c>
      <c r="F656" s="177" t="s">
        <v>1182</v>
      </c>
      <c r="G656" s="177" t="s">
        <v>1183</v>
      </c>
      <c r="H656" s="190" t="n">
        <v>1</v>
      </c>
      <c r="I656" s="102" t="s">
        <v>601</v>
      </c>
    </row>
    <row r="657" customFormat="false" ht="15" hidden="false" customHeight="false" outlineLevel="0" collapsed="false">
      <c r="A657" s="106" t="s">
        <v>1854</v>
      </c>
      <c r="B657" s="106" t="s">
        <v>516</v>
      </c>
      <c r="C657" s="179" t="s">
        <v>517</v>
      </c>
      <c r="D657" s="106" t="s">
        <v>12</v>
      </c>
      <c r="E657" s="179" t="s">
        <v>16</v>
      </c>
      <c r="F657" s="179" t="s">
        <v>1204</v>
      </c>
      <c r="G657" s="179" t="s">
        <v>1205</v>
      </c>
      <c r="H657" s="191" t="n">
        <v>0.75</v>
      </c>
      <c r="I657" s="106" t="s">
        <v>1217</v>
      </c>
    </row>
    <row r="658" customFormat="false" ht="15" hidden="false" customHeight="false" outlineLevel="0" collapsed="false">
      <c r="A658" s="102" t="s">
        <v>1855</v>
      </c>
      <c r="B658" s="102" t="s">
        <v>519</v>
      </c>
      <c r="C658" s="177" t="s">
        <v>520</v>
      </c>
      <c r="D658" s="102" t="s">
        <v>12</v>
      </c>
      <c r="E658" s="177" t="s">
        <v>16</v>
      </c>
      <c r="F658" s="177" t="s">
        <v>1187</v>
      </c>
      <c r="G658" s="177" t="s">
        <v>1188</v>
      </c>
      <c r="H658" s="190" t="n">
        <v>1</v>
      </c>
      <c r="I658" s="102" t="s">
        <v>601</v>
      </c>
    </row>
    <row r="659" customFormat="false" ht="15" hidden="false" customHeight="false" outlineLevel="0" collapsed="false">
      <c r="A659" s="106" t="s">
        <v>1856</v>
      </c>
      <c r="B659" s="106" t="s">
        <v>519</v>
      </c>
      <c r="C659" s="179" t="s">
        <v>520</v>
      </c>
      <c r="D659" s="106" t="s">
        <v>12</v>
      </c>
      <c r="E659" s="179" t="s">
        <v>16</v>
      </c>
      <c r="F659" s="179" t="s">
        <v>1199</v>
      </c>
      <c r="G659" s="179" t="s">
        <v>1188</v>
      </c>
      <c r="H659" s="191" t="n">
        <v>0.75</v>
      </c>
      <c r="I659" s="106" t="s">
        <v>1217</v>
      </c>
    </row>
    <row r="660" customFormat="false" ht="15" hidden="false" customHeight="false" outlineLevel="0" collapsed="false">
      <c r="A660" s="102" t="s">
        <v>1857</v>
      </c>
      <c r="B660" s="102" t="s">
        <v>519</v>
      </c>
      <c r="C660" s="177" t="s">
        <v>520</v>
      </c>
      <c r="D660" s="102" t="s">
        <v>12</v>
      </c>
      <c r="E660" s="177" t="s">
        <v>16</v>
      </c>
      <c r="F660" s="177" t="s">
        <v>1208</v>
      </c>
      <c r="G660" s="177" t="s">
        <v>1209</v>
      </c>
      <c r="H660" s="190" t="n">
        <v>1</v>
      </c>
      <c r="I660" s="102" t="s">
        <v>601</v>
      </c>
    </row>
    <row r="661" customFormat="false" ht="15" hidden="false" customHeight="false" outlineLevel="0" collapsed="false">
      <c r="A661" s="106" t="s">
        <v>1858</v>
      </c>
      <c r="B661" s="106" t="s">
        <v>519</v>
      </c>
      <c r="C661" s="179" t="s">
        <v>520</v>
      </c>
      <c r="D661" s="106" t="s">
        <v>12</v>
      </c>
      <c r="E661" s="179" t="s">
        <v>16</v>
      </c>
      <c r="F661" s="179" t="s">
        <v>1201</v>
      </c>
      <c r="G661" s="179" t="s">
        <v>20</v>
      </c>
      <c r="H661" s="191" t="n">
        <v>0</v>
      </c>
      <c r="I661" s="106" t="s">
        <v>1222</v>
      </c>
    </row>
    <row r="662" customFormat="false" ht="15" hidden="false" customHeight="false" outlineLevel="0" collapsed="false">
      <c r="A662" s="102" t="s">
        <v>1859</v>
      </c>
      <c r="B662" s="102" t="s">
        <v>519</v>
      </c>
      <c r="C662" s="177" t="s">
        <v>520</v>
      </c>
      <c r="D662" s="102" t="s">
        <v>12</v>
      </c>
      <c r="E662" s="177" t="s">
        <v>16</v>
      </c>
      <c r="F662" s="177" t="s">
        <v>1195</v>
      </c>
      <c r="G662" s="177" t="s">
        <v>1196</v>
      </c>
      <c r="H662" s="190" t="n">
        <v>0.5</v>
      </c>
      <c r="I662" s="102" t="s">
        <v>1217</v>
      </c>
    </row>
    <row r="663" customFormat="false" ht="15" hidden="false" customHeight="false" outlineLevel="0" collapsed="false">
      <c r="A663" s="106" t="s">
        <v>1860</v>
      </c>
      <c r="B663" s="106" t="s">
        <v>519</v>
      </c>
      <c r="C663" s="179" t="s">
        <v>520</v>
      </c>
      <c r="D663" s="106" t="s">
        <v>12</v>
      </c>
      <c r="E663" s="179" t="s">
        <v>16</v>
      </c>
      <c r="F663" s="179" t="s">
        <v>1192</v>
      </c>
      <c r="G663" s="179" t="s">
        <v>1193</v>
      </c>
      <c r="H663" s="191" t="n">
        <v>1</v>
      </c>
      <c r="I663" s="106" t="s">
        <v>601</v>
      </c>
    </row>
    <row r="664" customFormat="false" ht="15" hidden="false" customHeight="false" outlineLevel="0" collapsed="false">
      <c r="A664" s="102" t="s">
        <v>1861</v>
      </c>
      <c r="B664" s="102" t="s">
        <v>519</v>
      </c>
      <c r="C664" s="177" t="s">
        <v>520</v>
      </c>
      <c r="D664" s="102" t="s">
        <v>12</v>
      </c>
      <c r="E664" s="177" t="s">
        <v>16</v>
      </c>
      <c r="F664" s="177" t="s">
        <v>1204</v>
      </c>
      <c r="G664" s="177" t="s">
        <v>1205</v>
      </c>
      <c r="H664" s="190" t="n">
        <v>0.75</v>
      </c>
      <c r="I664" s="102" t="s">
        <v>1217</v>
      </c>
    </row>
    <row r="665" customFormat="false" ht="15" hidden="false" customHeight="false" outlineLevel="0" collapsed="false">
      <c r="A665" s="106" t="s">
        <v>1862</v>
      </c>
      <c r="B665" s="106" t="s">
        <v>96</v>
      </c>
      <c r="C665" s="179" t="s">
        <v>97</v>
      </c>
      <c r="D665" s="106" t="s">
        <v>12</v>
      </c>
      <c r="E665" s="179" t="s">
        <v>20</v>
      </c>
      <c r="F665" s="179" t="s">
        <v>1187</v>
      </c>
      <c r="G665" s="179" t="s">
        <v>1188</v>
      </c>
      <c r="H665" s="191" t="n">
        <v>1</v>
      </c>
      <c r="I665" s="106" t="s">
        <v>601</v>
      </c>
    </row>
    <row r="666" customFormat="false" ht="15" hidden="false" customHeight="false" outlineLevel="0" collapsed="false">
      <c r="A666" s="102" t="s">
        <v>1863</v>
      </c>
      <c r="B666" s="102" t="s">
        <v>96</v>
      </c>
      <c r="C666" s="177" t="s">
        <v>97</v>
      </c>
      <c r="D666" s="102" t="s">
        <v>12</v>
      </c>
      <c r="E666" s="177" t="s">
        <v>20</v>
      </c>
      <c r="F666" s="177" t="s">
        <v>1199</v>
      </c>
      <c r="G666" s="177" t="s">
        <v>1188</v>
      </c>
      <c r="H666" s="190" t="n">
        <v>0.5</v>
      </c>
      <c r="I666" s="102" t="s">
        <v>1217</v>
      </c>
    </row>
    <row r="667" customFormat="false" ht="15" hidden="false" customHeight="false" outlineLevel="0" collapsed="false">
      <c r="A667" s="106" t="s">
        <v>1864</v>
      </c>
      <c r="B667" s="106" t="s">
        <v>96</v>
      </c>
      <c r="C667" s="179" t="s">
        <v>97</v>
      </c>
      <c r="D667" s="106" t="s">
        <v>12</v>
      </c>
      <c r="E667" s="179" t="s">
        <v>20</v>
      </c>
      <c r="F667" s="179" t="s">
        <v>1208</v>
      </c>
      <c r="G667" s="179" t="s">
        <v>1209</v>
      </c>
      <c r="H667" s="191" t="n">
        <v>0.5</v>
      </c>
      <c r="I667" s="106" t="s">
        <v>1217</v>
      </c>
    </row>
    <row r="668" customFormat="false" ht="15" hidden="false" customHeight="false" outlineLevel="0" collapsed="false">
      <c r="A668" s="102" t="s">
        <v>1865</v>
      </c>
      <c r="B668" s="102" t="s">
        <v>96</v>
      </c>
      <c r="C668" s="177" t="s">
        <v>97</v>
      </c>
      <c r="D668" s="102" t="s">
        <v>12</v>
      </c>
      <c r="E668" s="177" t="s">
        <v>20</v>
      </c>
      <c r="F668" s="177" t="s">
        <v>1204</v>
      </c>
      <c r="G668" s="177" t="s">
        <v>1205</v>
      </c>
      <c r="H668" s="190" t="n">
        <v>0.5</v>
      </c>
      <c r="I668" s="102" t="s">
        <v>1217</v>
      </c>
    </row>
    <row r="669" customFormat="false" ht="15" hidden="false" customHeight="false" outlineLevel="0" collapsed="false">
      <c r="A669" s="106" t="s">
        <v>1866</v>
      </c>
      <c r="B669" s="106" t="s">
        <v>96</v>
      </c>
      <c r="C669" s="179" t="s">
        <v>97</v>
      </c>
      <c r="D669" s="106" t="s">
        <v>12</v>
      </c>
      <c r="E669" s="179" t="s">
        <v>20</v>
      </c>
      <c r="F669" s="179" t="s">
        <v>1201</v>
      </c>
      <c r="G669" s="179" t="s">
        <v>20</v>
      </c>
      <c r="H669" s="191" t="n">
        <v>1</v>
      </c>
      <c r="I669" s="106" t="s">
        <v>601</v>
      </c>
    </row>
    <row r="670" customFormat="false" ht="15" hidden="false" customHeight="false" outlineLevel="0" collapsed="false">
      <c r="A670" s="102" t="s">
        <v>1867</v>
      </c>
      <c r="B670" s="102" t="s">
        <v>96</v>
      </c>
      <c r="C670" s="177" t="s">
        <v>97</v>
      </c>
      <c r="D670" s="102" t="s">
        <v>12</v>
      </c>
      <c r="E670" s="177" t="s">
        <v>20</v>
      </c>
      <c r="F670" s="177" t="s">
        <v>1195</v>
      </c>
      <c r="G670" s="177" t="s">
        <v>1196</v>
      </c>
      <c r="H670" s="190" t="n">
        <v>1</v>
      </c>
      <c r="I670" s="102" t="s">
        <v>601</v>
      </c>
    </row>
    <row r="671" customFormat="false" ht="15" hidden="false" customHeight="false" outlineLevel="0" collapsed="false">
      <c r="A671" s="106" t="s">
        <v>1868</v>
      </c>
      <c r="B671" s="106" t="s">
        <v>96</v>
      </c>
      <c r="C671" s="179" t="s">
        <v>97</v>
      </c>
      <c r="D671" s="106" t="s">
        <v>12</v>
      </c>
      <c r="E671" s="179" t="s">
        <v>20</v>
      </c>
      <c r="F671" s="179" t="s">
        <v>1192</v>
      </c>
      <c r="G671" s="179" t="s">
        <v>1193</v>
      </c>
      <c r="H671" s="191" t="n">
        <v>1</v>
      </c>
      <c r="I671" s="106" t="s">
        <v>601</v>
      </c>
    </row>
    <row r="672" customFormat="false" ht="15" hidden="false" customHeight="false" outlineLevel="0" collapsed="false">
      <c r="A672" s="102" t="s">
        <v>1869</v>
      </c>
      <c r="B672" s="102" t="s">
        <v>521</v>
      </c>
      <c r="C672" s="177" t="s">
        <v>522</v>
      </c>
      <c r="D672" s="102" t="s">
        <v>12</v>
      </c>
      <c r="E672" s="177" t="s">
        <v>20</v>
      </c>
      <c r="F672" s="177" t="s">
        <v>1187</v>
      </c>
      <c r="G672" s="177" t="s">
        <v>1188</v>
      </c>
      <c r="H672" s="190" t="n">
        <v>0.25</v>
      </c>
      <c r="I672" s="102" t="s">
        <v>1222</v>
      </c>
    </row>
    <row r="673" customFormat="false" ht="15" hidden="false" customHeight="false" outlineLevel="0" collapsed="false">
      <c r="A673" s="106" t="s">
        <v>1870</v>
      </c>
      <c r="B673" s="106" t="s">
        <v>521</v>
      </c>
      <c r="C673" s="179" t="s">
        <v>522</v>
      </c>
      <c r="D673" s="106" t="s">
        <v>12</v>
      </c>
      <c r="E673" s="179" t="s">
        <v>20</v>
      </c>
      <c r="F673" s="179" t="s">
        <v>1199</v>
      </c>
      <c r="G673" s="179" t="s">
        <v>1188</v>
      </c>
      <c r="H673" s="191" t="n">
        <v>1</v>
      </c>
      <c r="I673" s="106" t="s">
        <v>601</v>
      </c>
    </row>
    <row r="674" customFormat="false" ht="15" hidden="false" customHeight="false" outlineLevel="0" collapsed="false">
      <c r="A674" s="102" t="s">
        <v>1871</v>
      </c>
      <c r="B674" s="102" t="s">
        <v>521</v>
      </c>
      <c r="C674" s="177" t="s">
        <v>522</v>
      </c>
      <c r="D674" s="102" t="s">
        <v>12</v>
      </c>
      <c r="E674" s="177" t="s">
        <v>20</v>
      </c>
      <c r="F674" s="177" t="s">
        <v>1208</v>
      </c>
      <c r="G674" s="177" t="s">
        <v>1209</v>
      </c>
      <c r="H674" s="190" t="n">
        <v>1</v>
      </c>
      <c r="I674" s="102" t="s">
        <v>601</v>
      </c>
    </row>
    <row r="675" customFormat="false" ht="15" hidden="false" customHeight="false" outlineLevel="0" collapsed="false">
      <c r="A675" s="106" t="s">
        <v>1872</v>
      </c>
      <c r="B675" s="106" t="s">
        <v>521</v>
      </c>
      <c r="C675" s="179" t="s">
        <v>522</v>
      </c>
      <c r="D675" s="106" t="s">
        <v>12</v>
      </c>
      <c r="E675" s="179" t="s">
        <v>20</v>
      </c>
      <c r="F675" s="179" t="s">
        <v>1204</v>
      </c>
      <c r="G675" s="179" t="s">
        <v>1205</v>
      </c>
      <c r="H675" s="191" t="n">
        <v>1</v>
      </c>
      <c r="I675" s="106" t="s">
        <v>601</v>
      </c>
    </row>
    <row r="676" customFormat="false" ht="15" hidden="false" customHeight="false" outlineLevel="0" collapsed="false">
      <c r="A676" s="102" t="s">
        <v>1873</v>
      </c>
      <c r="B676" s="102" t="s">
        <v>521</v>
      </c>
      <c r="C676" s="177" t="s">
        <v>522</v>
      </c>
      <c r="D676" s="102" t="s">
        <v>12</v>
      </c>
      <c r="E676" s="177" t="s">
        <v>20</v>
      </c>
      <c r="F676" s="177" t="s">
        <v>1192</v>
      </c>
      <c r="G676" s="177" t="s">
        <v>1193</v>
      </c>
      <c r="H676" s="190" t="n">
        <v>0.5</v>
      </c>
      <c r="I676" s="102" t="s">
        <v>1217</v>
      </c>
    </row>
    <row r="677" customFormat="false" ht="15" hidden="false" customHeight="false" outlineLevel="0" collapsed="false">
      <c r="A677" s="106" t="s">
        <v>1874</v>
      </c>
      <c r="B677" s="106" t="s">
        <v>521</v>
      </c>
      <c r="C677" s="179" t="s">
        <v>522</v>
      </c>
      <c r="D677" s="106" t="s">
        <v>12</v>
      </c>
      <c r="E677" s="179" t="s">
        <v>20</v>
      </c>
      <c r="F677" s="179" t="s">
        <v>1195</v>
      </c>
      <c r="G677" s="179" t="s">
        <v>1196</v>
      </c>
      <c r="H677" s="191" t="n">
        <v>1</v>
      </c>
      <c r="I677" s="106" t="s">
        <v>601</v>
      </c>
    </row>
    <row r="678" customFormat="false" ht="15" hidden="false" customHeight="false" outlineLevel="0" collapsed="false">
      <c r="A678" s="102" t="s">
        <v>1875</v>
      </c>
      <c r="B678" s="102" t="s">
        <v>523</v>
      </c>
      <c r="C678" s="177" t="s">
        <v>524</v>
      </c>
      <c r="D678" s="102" t="s">
        <v>12</v>
      </c>
      <c r="E678" s="177" t="s">
        <v>20</v>
      </c>
      <c r="F678" s="177" t="s">
        <v>1187</v>
      </c>
      <c r="G678" s="177" t="s">
        <v>1188</v>
      </c>
      <c r="H678" s="190" t="n">
        <v>1</v>
      </c>
      <c r="I678" s="102" t="s">
        <v>601</v>
      </c>
    </row>
    <row r="679" customFormat="false" ht="15" hidden="false" customHeight="false" outlineLevel="0" collapsed="false">
      <c r="A679" s="106" t="s">
        <v>1876</v>
      </c>
      <c r="B679" s="106" t="s">
        <v>523</v>
      </c>
      <c r="C679" s="179" t="s">
        <v>524</v>
      </c>
      <c r="D679" s="106" t="s">
        <v>12</v>
      </c>
      <c r="E679" s="179" t="s">
        <v>20</v>
      </c>
      <c r="F679" s="179" t="s">
        <v>1199</v>
      </c>
      <c r="G679" s="179" t="s">
        <v>1188</v>
      </c>
      <c r="H679" s="191" t="n">
        <v>0.5</v>
      </c>
      <c r="I679" s="106" t="s">
        <v>1217</v>
      </c>
    </row>
    <row r="680" customFormat="false" ht="15" hidden="false" customHeight="false" outlineLevel="0" collapsed="false">
      <c r="A680" s="102" t="s">
        <v>1877</v>
      </c>
      <c r="B680" s="102" t="s">
        <v>523</v>
      </c>
      <c r="C680" s="177" t="s">
        <v>524</v>
      </c>
      <c r="D680" s="102" t="s">
        <v>12</v>
      </c>
      <c r="E680" s="177" t="s">
        <v>20</v>
      </c>
      <c r="F680" s="177" t="s">
        <v>1208</v>
      </c>
      <c r="G680" s="177" t="s">
        <v>1209</v>
      </c>
      <c r="H680" s="190" t="n">
        <v>1</v>
      </c>
      <c r="I680" s="102" t="s">
        <v>601</v>
      </c>
    </row>
    <row r="681" customFormat="false" ht="15" hidden="false" customHeight="false" outlineLevel="0" collapsed="false">
      <c r="A681" s="106" t="s">
        <v>1878</v>
      </c>
      <c r="B681" s="106" t="s">
        <v>523</v>
      </c>
      <c r="C681" s="179" t="s">
        <v>524</v>
      </c>
      <c r="D681" s="106" t="s">
        <v>12</v>
      </c>
      <c r="E681" s="179" t="s">
        <v>20</v>
      </c>
      <c r="F681" s="179" t="s">
        <v>1195</v>
      </c>
      <c r="G681" s="179" t="s">
        <v>1196</v>
      </c>
      <c r="H681" s="191" t="n">
        <v>0.5</v>
      </c>
      <c r="I681" s="106" t="s">
        <v>1217</v>
      </c>
    </row>
    <row r="682" customFormat="false" ht="15" hidden="false" customHeight="false" outlineLevel="0" collapsed="false">
      <c r="A682" s="102" t="s">
        <v>1879</v>
      </c>
      <c r="B682" s="102" t="s">
        <v>523</v>
      </c>
      <c r="C682" s="177" t="s">
        <v>524</v>
      </c>
      <c r="D682" s="102" t="s">
        <v>12</v>
      </c>
      <c r="E682" s="177" t="s">
        <v>20</v>
      </c>
      <c r="F682" s="177" t="s">
        <v>1204</v>
      </c>
      <c r="G682" s="177" t="s">
        <v>1205</v>
      </c>
      <c r="H682" s="190" t="n">
        <v>1</v>
      </c>
      <c r="I682" s="102" t="s">
        <v>601</v>
      </c>
    </row>
    <row r="683" customFormat="false" ht="15" hidden="false" customHeight="false" outlineLevel="0" collapsed="false">
      <c r="A683" s="106" t="s">
        <v>1880</v>
      </c>
      <c r="B683" s="106" t="s">
        <v>523</v>
      </c>
      <c r="C683" s="179" t="s">
        <v>524</v>
      </c>
      <c r="D683" s="106" t="s">
        <v>12</v>
      </c>
      <c r="E683" s="179" t="s">
        <v>20</v>
      </c>
      <c r="F683" s="179" t="s">
        <v>1201</v>
      </c>
      <c r="G683" s="179" t="s">
        <v>20</v>
      </c>
      <c r="H683" s="191" t="n">
        <v>0.25</v>
      </c>
      <c r="I683" s="106" t="s">
        <v>1222</v>
      </c>
    </row>
    <row r="684" customFormat="false" ht="15" hidden="false" customHeight="false" outlineLevel="0" collapsed="false">
      <c r="A684" s="102" t="s">
        <v>1881</v>
      </c>
      <c r="B684" s="102" t="s">
        <v>156</v>
      </c>
      <c r="C684" s="177" t="s">
        <v>157</v>
      </c>
      <c r="D684" s="102" t="s">
        <v>12</v>
      </c>
      <c r="E684" s="177" t="s">
        <v>20</v>
      </c>
      <c r="F684" s="177" t="s">
        <v>1187</v>
      </c>
      <c r="G684" s="177" t="s">
        <v>1188</v>
      </c>
      <c r="H684" s="190" t="n">
        <v>1</v>
      </c>
      <c r="I684" s="102" t="s">
        <v>601</v>
      </c>
    </row>
    <row r="685" customFormat="false" ht="15" hidden="false" customHeight="false" outlineLevel="0" collapsed="false">
      <c r="A685" s="106" t="s">
        <v>1882</v>
      </c>
      <c r="B685" s="106" t="s">
        <v>156</v>
      </c>
      <c r="C685" s="179" t="s">
        <v>157</v>
      </c>
      <c r="D685" s="106" t="s">
        <v>12</v>
      </c>
      <c r="E685" s="179" t="s">
        <v>20</v>
      </c>
      <c r="F685" s="179" t="s">
        <v>1199</v>
      </c>
      <c r="G685" s="179" t="s">
        <v>1188</v>
      </c>
      <c r="H685" s="191" t="n">
        <v>0.5</v>
      </c>
      <c r="I685" s="106" t="s">
        <v>1217</v>
      </c>
    </row>
    <row r="686" customFormat="false" ht="15" hidden="false" customHeight="false" outlineLevel="0" collapsed="false">
      <c r="A686" s="102" t="s">
        <v>1883</v>
      </c>
      <c r="B686" s="102" t="s">
        <v>156</v>
      </c>
      <c r="C686" s="177" t="s">
        <v>157</v>
      </c>
      <c r="D686" s="102" t="s">
        <v>12</v>
      </c>
      <c r="E686" s="177" t="s">
        <v>20</v>
      </c>
      <c r="F686" s="177" t="s">
        <v>1208</v>
      </c>
      <c r="G686" s="177" t="s">
        <v>1209</v>
      </c>
      <c r="H686" s="190" t="n">
        <v>1</v>
      </c>
      <c r="I686" s="102" t="s">
        <v>601</v>
      </c>
    </row>
    <row r="687" customFormat="false" ht="15" hidden="false" customHeight="false" outlineLevel="0" collapsed="false">
      <c r="A687" s="106" t="s">
        <v>1884</v>
      </c>
      <c r="B687" s="106" t="s">
        <v>156</v>
      </c>
      <c r="C687" s="179" t="s">
        <v>157</v>
      </c>
      <c r="D687" s="106" t="s">
        <v>12</v>
      </c>
      <c r="E687" s="179" t="s">
        <v>20</v>
      </c>
      <c r="F687" s="179" t="s">
        <v>1201</v>
      </c>
      <c r="G687" s="179" t="s">
        <v>20</v>
      </c>
      <c r="H687" s="191" t="n">
        <v>1</v>
      </c>
      <c r="I687" s="106" t="s">
        <v>601</v>
      </c>
    </row>
    <row r="688" customFormat="false" ht="15" hidden="false" customHeight="false" outlineLevel="0" collapsed="false">
      <c r="A688" s="102" t="s">
        <v>1885</v>
      </c>
      <c r="B688" s="102" t="s">
        <v>156</v>
      </c>
      <c r="C688" s="177" t="s">
        <v>157</v>
      </c>
      <c r="D688" s="102" t="s">
        <v>12</v>
      </c>
      <c r="E688" s="177" t="s">
        <v>20</v>
      </c>
      <c r="F688" s="177" t="s">
        <v>1192</v>
      </c>
      <c r="G688" s="177" t="s">
        <v>1193</v>
      </c>
      <c r="H688" s="190" t="n">
        <v>1</v>
      </c>
      <c r="I688" s="102" t="s">
        <v>601</v>
      </c>
    </row>
    <row r="689" customFormat="false" ht="15" hidden="false" customHeight="false" outlineLevel="0" collapsed="false">
      <c r="A689" s="106" t="s">
        <v>1886</v>
      </c>
      <c r="B689" s="106" t="s">
        <v>525</v>
      </c>
      <c r="C689" s="179" t="s">
        <v>526</v>
      </c>
      <c r="D689" s="106" t="s">
        <v>12</v>
      </c>
      <c r="E689" s="179" t="s">
        <v>21</v>
      </c>
      <c r="F689" s="179" t="s">
        <v>1187</v>
      </c>
      <c r="G689" s="179" t="s">
        <v>1188</v>
      </c>
      <c r="H689" s="191" t="n">
        <v>1</v>
      </c>
      <c r="I689" s="106" t="s">
        <v>601</v>
      </c>
    </row>
    <row r="690" customFormat="false" ht="15" hidden="false" customHeight="false" outlineLevel="0" collapsed="false">
      <c r="A690" s="102" t="s">
        <v>1887</v>
      </c>
      <c r="B690" s="102" t="s">
        <v>525</v>
      </c>
      <c r="C690" s="177" t="s">
        <v>526</v>
      </c>
      <c r="D690" s="102" t="s">
        <v>12</v>
      </c>
      <c r="E690" s="177" t="s">
        <v>21</v>
      </c>
      <c r="F690" s="177" t="s">
        <v>1199</v>
      </c>
      <c r="G690" s="177" t="s">
        <v>1188</v>
      </c>
      <c r="H690" s="190" t="n">
        <v>0</v>
      </c>
      <c r="I690" s="102" t="s">
        <v>1222</v>
      </c>
    </row>
    <row r="691" customFormat="false" ht="15" hidden="false" customHeight="false" outlineLevel="0" collapsed="false">
      <c r="A691" s="106" t="s">
        <v>1888</v>
      </c>
      <c r="B691" s="106" t="s">
        <v>525</v>
      </c>
      <c r="C691" s="179" t="s">
        <v>526</v>
      </c>
      <c r="D691" s="106" t="s">
        <v>12</v>
      </c>
      <c r="E691" s="179" t="s">
        <v>21</v>
      </c>
      <c r="F691" s="179" t="s">
        <v>1208</v>
      </c>
      <c r="G691" s="179" t="s">
        <v>1209</v>
      </c>
      <c r="H691" s="191" t="n">
        <v>0.25</v>
      </c>
      <c r="I691" s="106" t="s">
        <v>1222</v>
      </c>
    </row>
    <row r="692" customFormat="false" ht="15" hidden="false" customHeight="false" outlineLevel="0" collapsed="false">
      <c r="A692" s="102" t="s">
        <v>1889</v>
      </c>
      <c r="B692" s="102" t="s">
        <v>525</v>
      </c>
      <c r="C692" s="177" t="s">
        <v>526</v>
      </c>
      <c r="D692" s="102" t="s">
        <v>12</v>
      </c>
      <c r="E692" s="177" t="s">
        <v>21</v>
      </c>
      <c r="F692" s="177" t="s">
        <v>1192</v>
      </c>
      <c r="G692" s="177" t="s">
        <v>1193</v>
      </c>
      <c r="H692" s="190" t="n">
        <v>0</v>
      </c>
      <c r="I692" s="102" t="s">
        <v>1222</v>
      </c>
    </row>
    <row r="693" customFormat="false" ht="15" hidden="false" customHeight="false" outlineLevel="0" collapsed="false">
      <c r="A693" s="106" t="s">
        <v>1890</v>
      </c>
      <c r="B693" s="106" t="s">
        <v>525</v>
      </c>
      <c r="C693" s="179" t="s">
        <v>526</v>
      </c>
      <c r="D693" s="106" t="s">
        <v>12</v>
      </c>
      <c r="E693" s="179" t="s">
        <v>21</v>
      </c>
      <c r="F693" s="179" t="s">
        <v>1204</v>
      </c>
      <c r="G693" s="179" t="s">
        <v>1205</v>
      </c>
      <c r="H693" s="191" t="n">
        <v>1</v>
      </c>
      <c r="I693" s="106" t="s">
        <v>601</v>
      </c>
    </row>
    <row r="694" customFormat="false" ht="15" hidden="false" customHeight="false" outlineLevel="0" collapsed="false">
      <c r="A694" s="102" t="s">
        <v>1891</v>
      </c>
      <c r="B694" s="102" t="s">
        <v>527</v>
      </c>
      <c r="C694" s="177" t="s">
        <v>528</v>
      </c>
      <c r="D694" s="102" t="s">
        <v>12</v>
      </c>
      <c r="E694" s="177" t="s">
        <v>21</v>
      </c>
      <c r="F694" s="177" t="s">
        <v>1187</v>
      </c>
      <c r="G694" s="177" t="s">
        <v>1188</v>
      </c>
      <c r="H694" s="190" t="n">
        <v>1</v>
      </c>
      <c r="I694" s="102" t="s">
        <v>601</v>
      </c>
    </row>
    <row r="695" customFormat="false" ht="15" hidden="false" customHeight="false" outlineLevel="0" collapsed="false">
      <c r="A695" s="106" t="s">
        <v>1892</v>
      </c>
      <c r="B695" s="106" t="s">
        <v>527</v>
      </c>
      <c r="C695" s="179" t="s">
        <v>528</v>
      </c>
      <c r="D695" s="106" t="s">
        <v>12</v>
      </c>
      <c r="E695" s="179" t="s">
        <v>21</v>
      </c>
      <c r="F695" s="179" t="s">
        <v>1199</v>
      </c>
      <c r="G695" s="179" t="s">
        <v>1188</v>
      </c>
      <c r="H695" s="191" t="n">
        <v>1</v>
      </c>
      <c r="I695" s="106" t="s">
        <v>601</v>
      </c>
    </row>
    <row r="696" customFormat="false" ht="15" hidden="false" customHeight="false" outlineLevel="0" collapsed="false">
      <c r="A696" s="102" t="s">
        <v>1893</v>
      </c>
      <c r="B696" s="102" t="s">
        <v>527</v>
      </c>
      <c r="C696" s="177" t="s">
        <v>528</v>
      </c>
      <c r="D696" s="102" t="s">
        <v>12</v>
      </c>
      <c r="E696" s="177" t="s">
        <v>21</v>
      </c>
      <c r="F696" s="177" t="s">
        <v>1208</v>
      </c>
      <c r="G696" s="177" t="s">
        <v>1209</v>
      </c>
      <c r="H696" s="190" t="n">
        <v>1</v>
      </c>
      <c r="I696" s="102" t="s">
        <v>601</v>
      </c>
    </row>
    <row r="697" customFormat="false" ht="15" hidden="false" customHeight="false" outlineLevel="0" collapsed="false">
      <c r="A697" s="106" t="s">
        <v>1894</v>
      </c>
      <c r="B697" s="106" t="s">
        <v>527</v>
      </c>
      <c r="C697" s="179" t="s">
        <v>528</v>
      </c>
      <c r="D697" s="106" t="s">
        <v>12</v>
      </c>
      <c r="E697" s="179" t="s">
        <v>21</v>
      </c>
      <c r="F697" s="179" t="s">
        <v>1192</v>
      </c>
      <c r="G697" s="179" t="s">
        <v>1193</v>
      </c>
      <c r="H697" s="191" t="n">
        <v>1</v>
      </c>
      <c r="I697" s="106" t="s">
        <v>601</v>
      </c>
    </row>
    <row r="698" customFormat="false" ht="15" hidden="false" customHeight="false" outlineLevel="0" collapsed="false">
      <c r="A698" s="102" t="s">
        <v>1895</v>
      </c>
      <c r="B698" s="102" t="s">
        <v>527</v>
      </c>
      <c r="C698" s="177" t="s">
        <v>528</v>
      </c>
      <c r="D698" s="102" t="s">
        <v>12</v>
      </c>
      <c r="E698" s="177" t="s">
        <v>21</v>
      </c>
      <c r="F698" s="177" t="s">
        <v>1182</v>
      </c>
      <c r="G698" s="177" t="s">
        <v>1183</v>
      </c>
      <c r="H698" s="190" t="n">
        <v>1</v>
      </c>
      <c r="I698" s="102" t="s">
        <v>601</v>
      </c>
    </row>
    <row r="699" customFormat="false" ht="15" hidden="false" customHeight="false" outlineLevel="0" collapsed="false">
      <c r="A699" s="106" t="s">
        <v>1896</v>
      </c>
      <c r="B699" s="106" t="s">
        <v>527</v>
      </c>
      <c r="C699" s="179" t="s">
        <v>528</v>
      </c>
      <c r="D699" s="106" t="s">
        <v>12</v>
      </c>
      <c r="E699" s="179" t="s">
        <v>21</v>
      </c>
      <c r="F699" s="179" t="s">
        <v>1204</v>
      </c>
      <c r="G699" s="179" t="s">
        <v>1205</v>
      </c>
      <c r="H699" s="191" t="n">
        <v>0.75</v>
      </c>
      <c r="I699" s="106" t="s">
        <v>1217</v>
      </c>
    </row>
    <row r="700" customFormat="false" ht="15" hidden="false" customHeight="false" outlineLevel="0" collapsed="false">
      <c r="A700" s="102" t="s">
        <v>1897</v>
      </c>
      <c r="B700" s="102" t="s">
        <v>527</v>
      </c>
      <c r="C700" s="177" t="s">
        <v>528</v>
      </c>
      <c r="D700" s="102" t="s">
        <v>12</v>
      </c>
      <c r="E700" s="177" t="s">
        <v>21</v>
      </c>
      <c r="F700" s="177" t="s">
        <v>1195</v>
      </c>
      <c r="G700" s="177" t="s">
        <v>1196</v>
      </c>
      <c r="H700" s="190" t="n">
        <v>1</v>
      </c>
      <c r="I700" s="102" t="s">
        <v>601</v>
      </c>
    </row>
    <row r="701" customFormat="false" ht="15" hidden="false" customHeight="false" outlineLevel="0" collapsed="false">
      <c r="A701" s="106" t="s">
        <v>1898</v>
      </c>
      <c r="B701" s="106" t="s">
        <v>529</v>
      </c>
      <c r="C701" s="179" t="s">
        <v>530</v>
      </c>
      <c r="D701" s="106" t="s">
        <v>12</v>
      </c>
      <c r="E701" s="179" t="s">
        <v>22</v>
      </c>
      <c r="F701" s="179" t="s">
        <v>1187</v>
      </c>
      <c r="G701" s="179" t="s">
        <v>1188</v>
      </c>
      <c r="H701" s="191" t="n">
        <v>1</v>
      </c>
      <c r="I701" s="106" t="s">
        <v>601</v>
      </c>
    </row>
    <row r="702" customFormat="false" ht="15" hidden="false" customHeight="false" outlineLevel="0" collapsed="false">
      <c r="A702" s="102" t="s">
        <v>1899</v>
      </c>
      <c r="B702" s="102" t="s">
        <v>529</v>
      </c>
      <c r="C702" s="177" t="s">
        <v>530</v>
      </c>
      <c r="D702" s="102" t="s">
        <v>12</v>
      </c>
      <c r="E702" s="177" t="s">
        <v>22</v>
      </c>
      <c r="F702" s="177" t="s">
        <v>1199</v>
      </c>
      <c r="G702" s="177" t="s">
        <v>1188</v>
      </c>
      <c r="H702" s="190" t="n">
        <v>1</v>
      </c>
      <c r="I702" s="102" t="s">
        <v>601</v>
      </c>
    </row>
    <row r="703" customFormat="false" ht="15" hidden="false" customHeight="false" outlineLevel="0" collapsed="false">
      <c r="A703" s="106" t="s">
        <v>1900</v>
      </c>
      <c r="B703" s="106" t="s">
        <v>529</v>
      </c>
      <c r="C703" s="179" t="s">
        <v>530</v>
      </c>
      <c r="D703" s="106" t="s">
        <v>12</v>
      </c>
      <c r="E703" s="179" t="s">
        <v>22</v>
      </c>
      <c r="F703" s="179" t="s">
        <v>1208</v>
      </c>
      <c r="G703" s="179" t="s">
        <v>1209</v>
      </c>
      <c r="H703" s="191" t="n">
        <v>1</v>
      </c>
      <c r="I703" s="106" t="s">
        <v>601</v>
      </c>
    </row>
    <row r="704" customFormat="false" ht="15" hidden="false" customHeight="false" outlineLevel="0" collapsed="false">
      <c r="A704" s="102" t="s">
        <v>1901</v>
      </c>
      <c r="B704" s="102" t="s">
        <v>529</v>
      </c>
      <c r="C704" s="177" t="s">
        <v>530</v>
      </c>
      <c r="D704" s="102" t="s">
        <v>12</v>
      </c>
      <c r="E704" s="177" t="s">
        <v>22</v>
      </c>
      <c r="F704" s="177" t="s">
        <v>1201</v>
      </c>
      <c r="G704" s="177" t="s">
        <v>20</v>
      </c>
      <c r="H704" s="190" t="n">
        <v>1</v>
      </c>
      <c r="I704" s="102" t="s">
        <v>601</v>
      </c>
    </row>
    <row r="705" customFormat="false" ht="15" hidden="false" customHeight="false" outlineLevel="0" collapsed="false">
      <c r="A705" s="106" t="s">
        <v>1902</v>
      </c>
      <c r="B705" s="106" t="s">
        <v>529</v>
      </c>
      <c r="C705" s="179" t="s">
        <v>530</v>
      </c>
      <c r="D705" s="106" t="s">
        <v>12</v>
      </c>
      <c r="E705" s="179" t="s">
        <v>22</v>
      </c>
      <c r="F705" s="179" t="s">
        <v>1182</v>
      </c>
      <c r="G705" s="179" t="s">
        <v>1183</v>
      </c>
      <c r="H705" s="191" t="n">
        <v>1</v>
      </c>
      <c r="I705" s="106" t="s">
        <v>601</v>
      </c>
    </row>
    <row r="706" customFormat="false" ht="15" hidden="false" customHeight="false" outlineLevel="0" collapsed="false">
      <c r="A706" s="102" t="s">
        <v>1903</v>
      </c>
      <c r="B706" s="102" t="s">
        <v>531</v>
      </c>
      <c r="C706" s="177" t="s">
        <v>532</v>
      </c>
      <c r="D706" s="102" t="s">
        <v>12</v>
      </c>
      <c r="E706" s="177" t="s">
        <v>22</v>
      </c>
      <c r="F706" s="177" t="s">
        <v>1187</v>
      </c>
      <c r="G706" s="177" t="s">
        <v>1188</v>
      </c>
      <c r="H706" s="190" t="n">
        <v>0.75</v>
      </c>
      <c r="I706" s="102" t="s">
        <v>1217</v>
      </c>
    </row>
    <row r="707" customFormat="false" ht="15" hidden="false" customHeight="false" outlineLevel="0" collapsed="false">
      <c r="A707" s="106" t="s">
        <v>1904</v>
      </c>
      <c r="B707" s="106" t="s">
        <v>531</v>
      </c>
      <c r="C707" s="179" t="s">
        <v>532</v>
      </c>
      <c r="D707" s="106" t="s">
        <v>12</v>
      </c>
      <c r="E707" s="179" t="s">
        <v>22</v>
      </c>
      <c r="F707" s="179" t="s">
        <v>1199</v>
      </c>
      <c r="G707" s="179" t="s">
        <v>1188</v>
      </c>
      <c r="H707" s="191" t="n">
        <v>0</v>
      </c>
      <c r="I707" s="106" t="s">
        <v>1222</v>
      </c>
    </row>
    <row r="708" customFormat="false" ht="15" hidden="false" customHeight="false" outlineLevel="0" collapsed="false">
      <c r="A708" s="102" t="s">
        <v>1905</v>
      </c>
      <c r="B708" s="102" t="s">
        <v>531</v>
      </c>
      <c r="C708" s="177" t="s">
        <v>532</v>
      </c>
      <c r="D708" s="102" t="s">
        <v>12</v>
      </c>
      <c r="E708" s="177" t="s">
        <v>22</v>
      </c>
      <c r="F708" s="177" t="s">
        <v>1208</v>
      </c>
      <c r="G708" s="177" t="s">
        <v>1209</v>
      </c>
      <c r="H708" s="190" t="n">
        <v>0.25</v>
      </c>
      <c r="I708" s="102" t="s">
        <v>1222</v>
      </c>
    </row>
    <row r="709" customFormat="false" ht="15" hidden="false" customHeight="false" outlineLevel="0" collapsed="false">
      <c r="A709" s="106" t="s">
        <v>1906</v>
      </c>
      <c r="B709" s="106" t="s">
        <v>531</v>
      </c>
      <c r="C709" s="179" t="s">
        <v>532</v>
      </c>
      <c r="D709" s="106" t="s">
        <v>12</v>
      </c>
      <c r="E709" s="179" t="s">
        <v>22</v>
      </c>
      <c r="F709" s="179" t="s">
        <v>1182</v>
      </c>
      <c r="G709" s="179" t="s">
        <v>1183</v>
      </c>
      <c r="H709" s="191" t="n">
        <v>0.75</v>
      </c>
      <c r="I709" s="106" t="s">
        <v>1217</v>
      </c>
    </row>
    <row r="710" customFormat="false" ht="15" hidden="false" customHeight="false" outlineLevel="0" collapsed="false">
      <c r="A710" s="102" t="s">
        <v>1907</v>
      </c>
      <c r="B710" s="102" t="s">
        <v>531</v>
      </c>
      <c r="C710" s="177" t="s">
        <v>532</v>
      </c>
      <c r="D710" s="102" t="s">
        <v>12</v>
      </c>
      <c r="E710" s="177" t="s">
        <v>22</v>
      </c>
      <c r="F710" s="177" t="s">
        <v>1192</v>
      </c>
      <c r="G710" s="177" t="s">
        <v>1193</v>
      </c>
      <c r="H710" s="190" t="n">
        <v>1</v>
      </c>
      <c r="I710" s="102" t="s">
        <v>601</v>
      </c>
    </row>
    <row r="711" customFormat="false" ht="15" hidden="false" customHeight="false" outlineLevel="0" collapsed="false">
      <c r="A711" s="106" t="s">
        <v>1908</v>
      </c>
      <c r="B711" s="106" t="s">
        <v>533</v>
      </c>
      <c r="C711" s="179" t="s">
        <v>534</v>
      </c>
      <c r="D711" s="106" t="s">
        <v>12</v>
      </c>
      <c r="E711" s="179" t="s">
        <v>22</v>
      </c>
      <c r="F711" s="179" t="s">
        <v>1187</v>
      </c>
      <c r="G711" s="179" t="s">
        <v>1188</v>
      </c>
      <c r="H711" s="191" t="n">
        <v>1</v>
      </c>
      <c r="I711" s="106" t="s">
        <v>601</v>
      </c>
    </row>
    <row r="712" customFormat="false" ht="15" hidden="false" customHeight="false" outlineLevel="0" collapsed="false">
      <c r="A712" s="102" t="s">
        <v>1909</v>
      </c>
      <c r="B712" s="102" t="s">
        <v>533</v>
      </c>
      <c r="C712" s="177" t="s">
        <v>534</v>
      </c>
      <c r="D712" s="102" t="s">
        <v>12</v>
      </c>
      <c r="E712" s="177" t="s">
        <v>22</v>
      </c>
      <c r="F712" s="177" t="s">
        <v>1199</v>
      </c>
      <c r="G712" s="177" t="s">
        <v>1188</v>
      </c>
      <c r="H712" s="190" t="n">
        <v>0.5</v>
      </c>
      <c r="I712" s="102" t="s">
        <v>1217</v>
      </c>
    </row>
    <row r="713" customFormat="false" ht="15" hidden="false" customHeight="false" outlineLevel="0" collapsed="false">
      <c r="A713" s="106" t="s">
        <v>1910</v>
      </c>
      <c r="B713" s="106" t="s">
        <v>533</v>
      </c>
      <c r="C713" s="179" t="s">
        <v>534</v>
      </c>
      <c r="D713" s="106" t="s">
        <v>12</v>
      </c>
      <c r="E713" s="179" t="s">
        <v>22</v>
      </c>
      <c r="F713" s="179" t="s">
        <v>1208</v>
      </c>
      <c r="G713" s="179" t="s">
        <v>1209</v>
      </c>
      <c r="H713" s="191" t="n">
        <v>1</v>
      </c>
      <c r="I713" s="106" t="s">
        <v>601</v>
      </c>
    </row>
    <row r="714" customFormat="false" ht="15" hidden="false" customHeight="false" outlineLevel="0" collapsed="false">
      <c r="A714" s="102" t="s">
        <v>1911</v>
      </c>
      <c r="B714" s="102" t="s">
        <v>533</v>
      </c>
      <c r="C714" s="177" t="s">
        <v>534</v>
      </c>
      <c r="D714" s="102" t="s">
        <v>12</v>
      </c>
      <c r="E714" s="177" t="s">
        <v>22</v>
      </c>
      <c r="F714" s="177" t="s">
        <v>1182</v>
      </c>
      <c r="G714" s="177" t="s">
        <v>1183</v>
      </c>
      <c r="H714" s="190" t="n">
        <v>1</v>
      </c>
      <c r="I714" s="102" t="s">
        <v>601</v>
      </c>
    </row>
    <row r="715" customFormat="false" ht="15" hidden="false" customHeight="false" outlineLevel="0" collapsed="false">
      <c r="A715" s="106" t="s">
        <v>1912</v>
      </c>
      <c r="B715" s="106" t="s">
        <v>533</v>
      </c>
      <c r="C715" s="179" t="s">
        <v>534</v>
      </c>
      <c r="D715" s="106" t="s">
        <v>12</v>
      </c>
      <c r="E715" s="179" t="s">
        <v>22</v>
      </c>
      <c r="F715" s="179" t="s">
        <v>1192</v>
      </c>
      <c r="G715" s="179" t="s">
        <v>1193</v>
      </c>
      <c r="H715" s="191" t="n">
        <v>1</v>
      </c>
      <c r="I715" s="106" t="s">
        <v>601</v>
      </c>
    </row>
    <row r="716" customFormat="false" ht="15" hidden="false" customHeight="false" outlineLevel="0" collapsed="false">
      <c r="A716" s="102" t="s">
        <v>1913</v>
      </c>
      <c r="B716" s="102" t="s">
        <v>535</v>
      </c>
      <c r="C716" s="177" t="s">
        <v>536</v>
      </c>
      <c r="D716" s="102" t="s">
        <v>12</v>
      </c>
      <c r="E716" s="177" t="s">
        <v>22</v>
      </c>
      <c r="F716" s="177" t="s">
        <v>1187</v>
      </c>
      <c r="G716" s="177" t="s">
        <v>1188</v>
      </c>
      <c r="H716" s="190" t="n">
        <v>1</v>
      </c>
      <c r="I716" s="102" t="s">
        <v>601</v>
      </c>
    </row>
    <row r="717" customFormat="false" ht="15" hidden="false" customHeight="false" outlineLevel="0" collapsed="false">
      <c r="A717" s="106" t="s">
        <v>1914</v>
      </c>
      <c r="B717" s="106" t="s">
        <v>535</v>
      </c>
      <c r="C717" s="179" t="s">
        <v>536</v>
      </c>
      <c r="D717" s="106" t="s">
        <v>12</v>
      </c>
      <c r="E717" s="179" t="s">
        <v>22</v>
      </c>
      <c r="F717" s="179" t="s">
        <v>1199</v>
      </c>
      <c r="G717" s="179" t="s">
        <v>1188</v>
      </c>
      <c r="H717" s="191" t="n">
        <v>1</v>
      </c>
      <c r="I717" s="106" t="s">
        <v>601</v>
      </c>
    </row>
    <row r="718" customFormat="false" ht="15" hidden="false" customHeight="false" outlineLevel="0" collapsed="false">
      <c r="A718" s="102" t="s">
        <v>1915</v>
      </c>
      <c r="B718" s="102" t="s">
        <v>535</v>
      </c>
      <c r="C718" s="177" t="s">
        <v>536</v>
      </c>
      <c r="D718" s="102" t="s">
        <v>12</v>
      </c>
      <c r="E718" s="177" t="s">
        <v>22</v>
      </c>
      <c r="F718" s="177" t="s">
        <v>1208</v>
      </c>
      <c r="G718" s="177" t="s">
        <v>1209</v>
      </c>
      <c r="H718" s="190" t="n">
        <v>0.75</v>
      </c>
      <c r="I718" s="102" t="s">
        <v>1217</v>
      </c>
    </row>
    <row r="719" customFormat="false" ht="15" hidden="false" customHeight="false" outlineLevel="0" collapsed="false">
      <c r="A719" s="106" t="s">
        <v>1916</v>
      </c>
      <c r="B719" s="106" t="s">
        <v>535</v>
      </c>
      <c r="C719" s="179" t="s">
        <v>536</v>
      </c>
      <c r="D719" s="106" t="s">
        <v>12</v>
      </c>
      <c r="E719" s="179" t="s">
        <v>22</v>
      </c>
      <c r="F719" s="179" t="s">
        <v>1192</v>
      </c>
      <c r="G719" s="179" t="s">
        <v>1193</v>
      </c>
      <c r="H719" s="191" t="n">
        <v>1</v>
      </c>
      <c r="I719" s="106" t="s">
        <v>601</v>
      </c>
    </row>
    <row r="720" customFormat="false" ht="15" hidden="false" customHeight="false" outlineLevel="0" collapsed="false">
      <c r="A720" s="102" t="s">
        <v>1917</v>
      </c>
      <c r="B720" s="102" t="s">
        <v>535</v>
      </c>
      <c r="C720" s="177" t="s">
        <v>536</v>
      </c>
      <c r="D720" s="102" t="s">
        <v>12</v>
      </c>
      <c r="E720" s="177" t="s">
        <v>22</v>
      </c>
      <c r="F720" s="177" t="s">
        <v>1182</v>
      </c>
      <c r="G720" s="177" t="s">
        <v>1183</v>
      </c>
      <c r="H720" s="190" t="n">
        <v>1</v>
      </c>
      <c r="I720" s="102" t="s">
        <v>601</v>
      </c>
    </row>
    <row r="721" customFormat="false" ht="15" hidden="false" customHeight="false" outlineLevel="0" collapsed="false">
      <c r="A721" s="106" t="s">
        <v>1918</v>
      </c>
      <c r="B721" s="106" t="s">
        <v>535</v>
      </c>
      <c r="C721" s="179" t="s">
        <v>536</v>
      </c>
      <c r="D721" s="106" t="s">
        <v>12</v>
      </c>
      <c r="E721" s="179" t="s">
        <v>22</v>
      </c>
      <c r="F721" s="179" t="s">
        <v>1201</v>
      </c>
      <c r="G721" s="179" t="s">
        <v>20</v>
      </c>
      <c r="H721" s="191" t="n">
        <v>0.25</v>
      </c>
      <c r="I721" s="106" t="s">
        <v>1222</v>
      </c>
    </row>
    <row r="722" customFormat="false" ht="15" hidden="false" customHeight="false" outlineLevel="0" collapsed="false">
      <c r="A722" s="102" t="s">
        <v>1919</v>
      </c>
      <c r="B722" s="102" t="s">
        <v>537</v>
      </c>
      <c r="C722" s="177" t="s">
        <v>538</v>
      </c>
      <c r="D722" s="102" t="s">
        <v>12</v>
      </c>
      <c r="E722" s="177" t="s">
        <v>23</v>
      </c>
      <c r="F722" s="177" t="s">
        <v>1187</v>
      </c>
      <c r="G722" s="177" t="s">
        <v>1188</v>
      </c>
      <c r="H722" s="190" t="n">
        <v>1</v>
      </c>
      <c r="I722" s="102" t="s">
        <v>601</v>
      </c>
    </row>
    <row r="723" customFormat="false" ht="15" hidden="false" customHeight="false" outlineLevel="0" collapsed="false">
      <c r="A723" s="106" t="s">
        <v>1920</v>
      </c>
      <c r="B723" s="106" t="s">
        <v>537</v>
      </c>
      <c r="C723" s="179" t="s">
        <v>538</v>
      </c>
      <c r="D723" s="106" t="s">
        <v>12</v>
      </c>
      <c r="E723" s="179" t="s">
        <v>23</v>
      </c>
      <c r="F723" s="179" t="s">
        <v>1199</v>
      </c>
      <c r="G723" s="179" t="s">
        <v>1188</v>
      </c>
      <c r="H723" s="191" t="n">
        <v>1</v>
      </c>
      <c r="I723" s="106" t="s">
        <v>601</v>
      </c>
    </row>
    <row r="724" customFormat="false" ht="15" hidden="false" customHeight="false" outlineLevel="0" collapsed="false">
      <c r="A724" s="102" t="s">
        <v>1921</v>
      </c>
      <c r="B724" s="102" t="s">
        <v>537</v>
      </c>
      <c r="C724" s="177" t="s">
        <v>538</v>
      </c>
      <c r="D724" s="102" t="s">
        <v>12</v>
      </c>
      <c r="E724" s="177" t="s">
        <v>23</v>
      </c>
      <c r="F724" s="177" t="s">
        <v>1208</v>
      </c>
      <c r="G724" s="177" t="s">
        <v>1209</v>
      </c>
      <c r="H724" s="190" t="n">
        <v>0.25</v>
      </c>
      <c r="I724" s="102" t="s">
        <v>1222</v>
      </c>
    </row>
    <row r="725" customFormat="false" ht="15" hidden="false" customHeight="false" outlineLevel="0" collapsed="false">
      <c r="A725" s="106" t="s">
        <v>1922</v>
      </c>
      <c r="B725" s="106" t="s">
        <v>537</v>
      </c>
      <c r="C725" s="179" t="s">
        <v>538</v>
      </c>
      <c r="D725" s="106" t="s">
        <v>12</v>
      </c>
      <c r="E725" s="179" t="s">
        <v>23</v>
      </c>
      <c r="F725" s="179" t="s">
        <v>1195</v>
      </c>
      <c r="G725" s="179" t="s">
        <v>1196</v>
      </c>
      <c r="H725" s="191" t="n">
        <v>0.25</v>
      </c>
      <c r="I725" s="106" t="s">
        <v>1222</v>
      </c>
    </row>
    <row r="726" customFormat="false" ht="15" hidden="false" customHeight="false" outlineLevel="0" collapsed="false">
      <c r="A726" s="102" t="s">
        <v>1923</v>
      </c>
      <c r="B726" s="102" t="s">
        <v>537</v>
      </c>
      <c r="C726" s="177" t="s">
        <v>538</v>
      </c>
      <c r="D726" s="102" t="s">
        <v>12</v>
      </c>
      <c r="E726" s="177" t="s">
        <v>23</v>
      </c>
      <c r="F726" s="177" t="s">
        <v>1201</v>
      </c>
      <c r="G726" s="177" t="s">
        <v>20</v>
      </c>
      <c r="H726" s="190" t="n">
        <v>1</v>
      </c>
      <c r="I726" s="102" t="s">
        <v>601</v>
      </c>
    </row>
    <row r="727" customFormat="false" ht="15" hidden="false" customHeight="false" outlineLevel="0" collapsed="false">
      <c r="A727" s="106" t="s">
        <v>1924</v>
      </c>
      <c r="B727" s="106" t="s">
        <v>539</v>
      </c>
      <c r="C727" s="179" t="s">
        <v>540</v>
      </c>
      <c r="D727" s="106" t="s">
        <v>12</v>
      </c>
      <c r="E727" s="179" t="s">
        <v>23</v>
      </c>
      <c r="F727" s="179" t="s">
        <v>1187</v>
      </c>
      <c r="G727" s="179" t="s">
        <v>1188</v>
      </c>
      <c r="H727" s="191" t="n">
        <v>1</v>
      </c>
      <c r="I727" s="106" t="s">
        <v>601</v>
      </c>
    </row>
    <row r="728" customFormat="false" ht="15" hidden="false" customHeight="false" outlineLevel="0" collapsed="false">
      <c r="A728" s="102" t="s">
        <v>1925</v>
      </c>
      <c r="B728" s="102" t="s">
        <v>539</v>
      </c>
      <c r="C728" s="177" t="s">
        <v>540</v>
      </c>
      <c r="D728" s="102" t="s">
        <v>12</v>
      </c>
      <c r="E728" s="177" t="s">
        <v>23</v>
      </c>
      <c r="F728" s="177" t="s">
        <v>1199</v>
      </c>
      <c r="G728" s="177" t="s">
        <v>1188</v>
      </c>
      <c r="H728" s="190" t="n">
        <v>1</v>
      </c>
      <c r="I728" s="102" t="s">
        <v>601</v>
      </c>
    </row>
    <row r="729" customFormat="false" ht="15" hidden="false" customHeight="false" outlineLevel="0" collapsed="false">
      <c r="A729" s="106" t="s">
        <v>1926</v>
      </c>
      <c r="B729" s="106" t="s">
        <v>539</v>
      </c>
      <c r="C729" s="179" t="s">
        <v>540</v>
      </c>
      <c r="D729" s="106" t="s">
        <v>12</v>
      </c>
      <c r="E729" s="179" t="s">
        <v>23</v>
      </c>
      <c r="F729" s="179" t="s">
        <v>1208</v>
      </c>
      <c r="G729" s="179" t="s">
        <v>1209</v>
      </c>
      <c r="H729" s="191" t="n">
        <v>1</v>
      </c>
      <c r="I729" s="106" t="s">
        <v>601</v>
      </c>
    </row>
    <row r="730" customFormat="false" ht="15" hidden="false" customHeight="false" outlineLevel="0" collapsed="false">
      <c r="A730" s="102" t="s">
        <v>1927</v>
      </c>
      <c r="B730" s="102" t="s">
        <v>539</v>
      </c>
      <c r="C730" s="177" t="s">
        <v>540</v>
      </c>
      <c r="D730" s="102" t="s">
        <v>12</v>
      </c>
      <c r="E730" s="177" t="s">
        <v>23</v>
      </c>
      <c r="F730" s="177" t="s">
        <v>1192</v>
      </c>
      <c r="G730" s="177" t="s">
        <v>1193</v>
      </c>
      <c r="H730" s="190" t="n">
        <v>1</v>
      </c>
      <c r="I730" s="102" t="s">
        <v>601</v>
      </c>
    </row>
    <row r="731" customFormat="false" ht="15" hidden="false" customHeight="false" outlineLevel="0" collapsed="false">
      <c r="A731" s="106" t="s">
        <v>1928</v>
      </c>
      <c r="B731" s="106" t="s">
        <v>539</v>
      </c>
      <c r="C731" s="179" t="s">
        <v>540</v>
      </c>
      <c r="D731" s="106" t="s">
        <v>12</v>
      </c>
      <c r="E731" s="179" t="s">
        <v>23</v>
      </c>
      <c r="F731" s="179" t="s">
        <v>1204</v>
      </c>
      <c r="G731" s="179" t="s">
        <v>1205</v>
      </c>
      <c r="H731" s="191" t="n">
        <v>0.75</v>
      </c>
      <c r="I731" s="106" t="s">
        <v>1217</v>
      </c>
    </row>
  </sheetData>
  <mergeCells count="4">
    <mergeCell ref="A1:I1"/>
    <mergeCell ref="A2:I2"/>
    <mergeCell ref="A4:I4"/>
    <mergeCell ref="A16:I16"/>
  </mergeCells>
  <conditionalFormatting sqref="I6:I13">
    <cfRule type="dataBar" priority="2">
      <dataBar showValue="1" minLength="10" maxLength="90">
        <cfvo type="num" val="0"/>
        <cfvo type="num" val="1"/>
        <color rgb="FF2EBFA5"/>
      </dataBar>
      <extLst>
        <ext xmlns:x14="http://schemas.microsoft.com/office/spreadsheetml/2009/9/main" uri="{B025F937-C7B1-47D3-B67F-A62EFF666E3E}">
          <x14:id>{7A27D44B-C025-48AA-8641-201FE6E03363}</x14:id>
        </ext>
      </extLst>
    </cfRule>
  </conditionalFormatting>
  <conditionalFormatting sqref="H18:H731">
    <cfRule type="dataBar" priority="3">
      <dataBar showValue="1" minLength="10" maxLength="90">
        <cfvo type="num" val="0"/>
        <cfvo type="num" val="1"/>
        <color rgb="FF2EBFA5"/>
      </dataBar>
      <extLst>
        <ext xmlns:x14="http://schemas.microsoft.com/office/spreadsheetml/2009/9/main" uri="{B025F937-C7B1-47D3-B67F-A62EFF666E3E}">
          <x14:id>{48F0A96C-DBBA-4129-8F71-84DE2CDBA416}</x14:id>
        </ext>
      </extLst>
    </cfRule>
  </conditionalFormatting>
  <conditionalFormatting sqref="I18:I731">
    <cfRule type="expression" priority="4" aboveAverage="0" equalAverage="0" bottom="0" percent="0" rank="0" text="" dxfId="25">
      <formula>$I18="Completed"</formula>
    </cfRule>
    <cfRule type="expression" priority="5" aboveAverage="0" equalAverage="0" bottom="0" percent="0" rank="0" text="" dxfId="26">
      <formula>$I18="In Progress"</formula>
    </cfRule>
    <cfRule type="expression" priority="6" aboveAverage="0" equalAverage="0" bottom="0" percent="0" rank="0" text="" dxfId="23">
      <formula>$I18="Not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7D44B-C025-48AA-8641-201FE6E0336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BFA5"/>
              <x14:axisColor rgb="FF000000"/>
            </x14:dataBar>
          </x14:cfRule>
          <xm:sqref>I6:I13</xm:sqref>
        </x14:conditionalFormatting>
        <x14:conditionalFormatting xmlns:xm="http://schemas.microsoft.com/office/excel/2006/main">
          <x14:cfRule type="dataBar" id="{48F0A96C-DBBA-4129-8F71-84DE2CDBA41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BFA5"/>
              <x14:axisColor rgb="FF000000"/>
            </x14:dataBar>
          </x14:cfRule>
          <xm:sqref>H18:H731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A1:M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18"/>
  </cols>
  <sheetData>
    <row r="1" customFormat="false" ht="27.75" hidden="false" customHeight="true" outlineLevel="0" collapsed="false">
      <c r="A1" s="174" t="s">
        <v>1929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customFormat="false" ht="18" hidden="false" customHeight="true" outlineLevel="0" collapsed="false">
      <c r="A2" s="175" t="s">
        <v>1930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4" customFormat="false" ht="36" hidden="false" customHeight="true" outlineLevel="0" collapsed="false">
      <c r="A4" s="176" t="s">
        <v>50</v>
      </c>
      <c r="B4" s="176" t="s">
        <v>51</v>
      </c>
      <c r="C4" s="176" t="s">
        <v>543</v>
      </c>
      <c r="D4" s="176" t="s">
        <v>52</v>
      </c>
      <c r="E4" s="176" t="s">
        <v>283</v>
      </c>
      <c r="F4" s="176" t="s">
        <v>1931</v>
      </c>
      <c r="G4" s="176" t="s">
        <v>1932</v>
      </c>
      <c r="H4" s="176" t="s">
        <v>1933</v>
      </c>
      <c r="I4" s="176" t="s">
        <v>1934</v>
      </c>
      <c r="J4" s="176" t="s">
        <v>1935</v>
      </c>
      <c r="K4" s="176" t="s">
        <v>1936</v>
      </c>
      <c r="L4" s="176" t="s">
        <v>1937</v>
      </c>
      <c r="M4" s="176" t="s">
        <v>151</v>
      </c>
    </row>
    <row r="5" customFormat="false" ht="15" hidden="false" customHeight="false" outlineLevel="0" collapsed="false">
      <c r="A5" s="102" t="s">
        <v>94</v>
      </c>
      <c r="B5" s="177" t="s">
        <v>95</v>
      </c>
      <c r="C5" s="102" t="s">
        <v>11</v>
      </c>
      <c r="D5" s="177" t="s">
        <v>23</v>
      </c>
      <c r="E5" s="177" t="s">
        <v>441</v>
      </c>
      <c r="F5" s="177" t="s">
        <v>364</v>
      </c>
      <c r="G5" s="102" t="n">
        <v>155</v>
      </c>
      <c r="H5" s="102" t="n">
        <v>3</v>
      </c>
      <c r="I5" s="102" t="n">
        <v>5</v>
      </c>
      <c r="J5" s="102" t="n">
        <v>15</v>
      </c>
      <c r="K5" s="186" t="n">
        <v>73</v>
      </c>
      <c r="L5" s="186" t="str">
        <f aca="false">IF(K5&gt;=65,"High",IF(K5&gt;=35,"Medium","Low"))</f>
        <v>High</v>
      </c>
      <c r="M5" s="177" t="s">
        <v>152</v>
      </c>
    </row>
    <row r="6" customFormat="false" ht="15" hidden="false" customHeight="false" outlineLevel="0" collapsed="false">
      <c r="A6" s="106" t="s">
        <v>66</v>
      </c>
      <c r="B6" s="179" t="s">
        <v>67</v>
      </c>
      <c r="C6" s="106" t="s">
        <v>11</v>
      </c>
      <c r="D6" s="179" t="s">
        <v>25</v>
      </c>
      <c r="E6" s="179" t="s">
        <v>465</v>
      </c>
      <c r="F6" s="179" t="s">
        <v>380</v>
      </c>
      <c r="G6" s="106" t="n">
        <v>178</v>
      </c>
      <c r="H6" s="106" t="n">
        <v>3</v>
      </c>
      <c r="I6" s="106" t="n">
        <v>5</v>
      </c>
      <c r="J6" s="106" t="n">
        <v>15</v>
      </c>
      <c r="K6" s="188" t="n">
        <v>73</v>
      </c>
      <c r="L6" s="188" t="str">
        <f aca="false">IF(K6&gt;=65,"High",IF(K6&gt;=35,"Medium","Low"))</f>
        <v>High</v>
      </c>
      <c r="M6" s="179" t="s">
        <v>152</v>
      </c>
    </row>
    <row r="7" customFormat="false" ht="15" hidden="false" customHeight="false" outlineLevel="0" collapsed="false">
      <c r="A7" s="102" t="s">
        <v>86</v>
      </c>
      <c r="B7" s="177" t="s">
        <v>87</v>
      </c>
      <c r="C7" s="102" t="s">
        <v>12</v>
      </c>
      <c r="D7" s="177" t="s">
        <v>15</v>
      </c>
      <c r="E7" s="177" t="s">
        <v>387</v>
      </c>
      <c r="F7" s="177" t="s">
        <v>493</v>
      </c>
      <c r="G7" s="102" t="n">
        <v>161</v>
      </c>
      <c r="H7" s="102" t="n">
        <v>3</v>
      </c>
      <c r="I7" s="102" t="n">
        <v>20</v>
      </c>
      <c r="J7" s="102" t="n">
        <v>0</v>
      </c>
      <c r="K7" s="186" t="n">
        <v>73</v>
      </c>
      <c r="L7" s="186" t="str">
        <f aca="false">IF(K7&gt;=65,"High",IF(K7&gt;=35,"Medium","Low"))</f>
        <v>High</v>
      </c>
      <c r="M7" s="177" t="s">
        <v>152</v>
      </c>
    </row>
    <row r="8" customFormat="false" ht="15" hidden="false" customHeight="false" outlineLevel="0" collapsed="false">
      <c r="A8" s="106" t="s">
        <v>156</v>
      </c>
      <c r="B8" s="179" t="s">
        <v>157</v>
      </c>
      <c r="C8" s="106" t="s">
        <v>12</v>
      </c>
      <c r="D8" s="179" t="s">
        <v>20</v>
      </c>
      <c r="E8" s="179" t="s">
        <v>417</v>
      </c>
      <c r="F8" s="179" t="s">
        <v>498</v>
      </c>
      <c r="G8" s="106" t="n">
        <v>118</v>
      </c>
      <c r="H8" s="106" t="n">
        <v>3</v>
      </c>
      <c r="I8" s="106" t="n">
        <v>20</v>
      </c>
      <c r="J8" s="106" t="n">
        <v>0</v>
      </c>
      <c r="K8" s="188" t="n">
        <v>73</v>
      </c>
      <c r="L8" s="188" t="str">
        <f aca="false">IF(K8&gt;=65,"High",IF(K8&gt;=35,"Medium","Low"))</f>
        <v>High</v>
      </c>
      <c r="M8" s="179" t="s">
        <v>152</v>
      </c>
    </row>
    <row r="9" customFormat="false" ht="15" hidden="false" customHeight="false" outlineLevel="0" collapsed="false">
      <c r="A9" s="102" t="s">
        <v>84</v>
      </c>
      <c r="B9" s="177" t="s">
        <v>85</v>
      </c>
      <c r="C9" s="102" t="s">
        <v>11</v>
      </c>
      <c r="D9" s="177" t="s">
        <v>16</v>
      </c>
      <c r="E9" s="177" t="s">
        <v>398</v>
      </c>
      <c r="F9" s="177" t="s">
        <v>336</v>
      </c>
      <c r="G9" s="102" t="n">
        <v>161</v>
      </c>
      <c r="H9" s="102" t="n">
        <v>3</v>
      </c>
      <c r="I9" s="102" t="n">
        <v>10</v>
      </c>
      <c r="J9" s="102" t="n">
        <v>5</v>
      </c>
      <c r="K9" s="186" t="n">
        <v>68</v>
      </c>
      <c r="L9" s="186" t="str">
        <f aca="false">IF(K9&gt;=65,"High",IF(K9&gt;=35,"Medium","Low"))</f>
        <v>High</v>
      </c>
      <c r="M9" s="177" t="s">
        <v>152</v>
      </c>
    </row>
    <row r="10" customFormat="false" ht="15" hidden="false" customHeight="false" outlineLevel="0" collapsed="false">
      <c r="A10" s="106" t="s">
        <v>158</v>
      </c>
      <c r="B10" s="179" t="s">
        <v>128</v>
      </c>
      <c r="C10" s="106" t="s">
        <v>11</v>
      </c>
      <c r="D10" s="179" t="s">
        <v>24</v>
      </c>
      <c r="E10" s="179" t="s">
        <v>450</v>
      </c>
      <c r="F10" s="179" t="s">
        <v>297</v>
      </c>
      <c r="G10" s="106" t="n">
        <v>43</v>
      </c>
      <c r="H10" s="106" t="n">
        <v>3</v>
      </c>
      <c r="I10" s="106" t="n">
        <v>10</v>
      </c>
      <c r="J10" s="106" t="n">
        <v>5</v>
      </c>
      <c r="K10" s="188" t="n">
        <v>68</v>
      </c>
      <c r="L10" s="188" t="str">
        <f aca="false">IF(K10&gt;=65,"High",IF(K10&gt;=35,"Medium","Low"))</f>
        <v>High</v>
      </c>
      <c r="M10" s="179" t="s">
        <v>152</v>
      </c>
    </row>
    <row r="11" customFormat="false" ht="15" hidden="false" customHeight="false" outlineLevel="0" collapsed="false">
      <c r="A11" s="102" t="s">
        <v>159</v>
      </c>
      <c r="B11" s="177" t="s">
        <v>160</v>
      </c>
      <c r="C11" s="102" t="s">
        <v>11</v>
      </c>
      <c r="D11" s="177" t="s">
        <v>24</v>
      </c>
      <c r="E11" s="177" t="s">
        <v>451</v>
      </c>
      <c r="F11" s="177" t="s">
        <v>370</v>
      </c>
      <c r="G11" s="102" t="n">
        <v>88</v>
      </c>
      <c r="H11" s="102" t="n">
        <v>3</v>
      </c>
      <c r="I11" s="102" t="n">
        <v>10</v>
      </c>
      <c r="J11" s="102" t="n">
        <v>5</v>
      </c>
      <c r="K11" s="186" t="n">
        <v>68</v>
      </c>
      <c r="L11" s="186" t="str">
        <f aca="false">IF(K11&gt;=65,"High",IF(K11&gt;=35,"Medium","Low"))</f>
        <v>High</v>
      </c>
      <c r="M11" s="177" t="s">
        <v>152</v>
      </c>
    </row>
    <row r="12" customFormat="false" ht="15" hidden="false" customHeight="false" outlineLevel="0" collapsed="false">
      <c r="A12" s="106" t="s">
        <v>161</v>
      </c>
      <c r="B12" s="179" t="s">
        <v>162</v>
      </c>
      <c r="C12" s="106" t="s">
        <v>11</v>
      </c>
      <c r="D12" s="179" t="s">
        <v>15</v>
      </c>
      <c r="E12" s="179" t="s">
        <v>387</v>
      </c>
      <c r="F12" s="179" t="s">
        <v>331</v>
      </c>
      <c r="G12" s="106" t="n">
        <v>73</v>
      </c>
      <c r="H12" s="106" t="n">
        <v>3</v>
      </c>
      <c r="I12" s="106" t="n">
        <v>10</v>
      </c>
      <c r="J12" s="106" t="n">
        <v>0</v>
      </c>
      <c r="K12" s="188" t="n">
        <v>63</v>
      </c>
      <c r="L12" s="188" t="str">
        <f aca="false">IF(K12&gt;=65,"High",IF(K12&gt;=35,"Medium","Low"))</f>
        <v>Medium</v>
      </c>
      <c r="M12" s="179" t="s">
        <v>152</v>
      </c>
    </row>
    <row r="13" customFormat="false" ht="15" hidden="false" customHeight="false" outlineLevel="0" collapsed="false">
      <c r="A13" s="102" t="s">
        <v>163</v>
      </c>
      <c r="B13" s="177" t="s">
        <v>164</v>
      </c>
      <c r="C13" s="102" t="s">
        <v>11</v>
      </c>
      <c r="D13" s="177" t="s">
        <v>15</v>
      </c>
      <c r="E13" s="177" t="s">
        <v>384</v>
      </c>
      <c r="F13" s="177" t="s">
        <v>324</v>
      </c>
      <c r="G13" s="102" t="n">
        <v>505</v>
      </c>
      <c r="H13" s="102" t="n">
        <v>3</v>
      </c>
      <c r="I13" s="102" t="n">
        <v>20</v>
      </c>
      <c r="J13" s="102" t="n">
        <v>10</v>
      </c>
      <c r="K13" s="186" t="n">
        <v>63</v>
      </c>
      <c r="L13" s="186" t="str">
        <f aca="false">IF(K13&gt;=65,"High",IF(K13&gt;=35,"Medium","Low"))</f>
        <v>Medium</v>
      </c>
      <c r="M13" s="177" t="s">
        <v>152</v>
      </c>
    </row>
    <row r="14" customFormat="false" ht="15" hidden="false" customHeight="false" outlineLevel="0" collapsed="false">
      <c r="A14" s="106" t="s">
        <v>68</v>
      </c>
      <c r="B14" s="179" t="s">
        <v>69</v>
      </c>
      <c r="C14" s="106" t="s">
        <v>11</v>
      </c>
      <c r="D14" s="179" t="s">
        <v>15</v>
      </c>
      <c r="E14" s="179" t="s">
        <v>393</v>
      </c>
      <c r="F14" s="179" t="s">
        <v>328</v>
      </c>
      <c r="G14" s="106" t="n">
        <v>124</v>
      </c>
      <c r="H14" s="106" t="n">
        <v>3</v>
      </c>
      <c r="I14" s="106" t="n">
        <v>5</v>
      </c>
      <c r="J14" s="106" t="n">
        <v>5</v>
      </c>
      <c r="K14" s="188" t="n">
        <v>63</v>
      </c>
      <c r="L14" s="188" t="str">
        <f aca="false">IF(K14&gt;=65,"High",IF(K14&gt;=35,"Medium","Low"))</f>
        <v>Medium</v>
      </c>
      <c r="M14" s="179" t="s">
        <v>152</v>
      </c>
    </row>
    <row r="15" customFormat="false" ht="15" hidden="false" customHeight="false" outlineLevel="0" collapsed="false">
      <c r="A15" s="102" t="s">
        <v>395</v>
      </c>
      <c r="B15" s="177" t="s">
        <v>396</v>
      </c>
      <c r="C15" s="102" t="s">
        <v>11</v>
      </c>
      <c r="D15" s="177" t="s">
        <v>16</v>
      </c>
      <c r="E15" s="177" t="s">
        <v>397</v>
      </c>
      <c r="F15" s="177" t="s">
        <v>336</v>
      </c>
      <c r="G15" s="102" t="n">
        <v>81</v>
      </c>
      <c r="H15" s="102" t="n">
        <v>3</v>
      </c>
      <c r="I15" s="102" t="n">
        <v>10</v>
      </c>
      <c r="J15" s="102" t="n">
        <v>0</v>
      </c>
      <c r="K15" s="186" t="n">
        <v>63</v>
      </c>
      <c r="L15" s="186" t="str">
        <f aca="false">IF(K15&gt;=65,"High",IF(K15&gt;=35,"Medium","Low"))</f>
        <v>Medium</v>
      </c>
      <c r="M15" s="177" t="s">
        <v>152</v>
      </c>
    </row>
    <row r="16" customFormat="false" ht="15" hidden="false" customHeight="false" outlineLevel="0" collapsed="false">
      <c r="A16" s="106" t="s">
        <v>62</v>
      </c>
      <c r="B16" s="179" t="s">
        <v>63</v>
      </c>
      <c r="C16" s="106" t="s">
        <v>11</v>
      </c>
      <c r="D16" s="179" t="s">
        <v>20</v>
      </c>
      <c r="E16" s="179" t="s">
        <v>410</v>
      </c>
      <c r="F16" s="179" t="s">
        <v>339</v>
      </c>
      <c r="G16" s="106" t="n">
        <v>178</v>
      </c>
      <c r="H16" s="106" t="n">
        <v>3</v>
      </c>
      <c r="I16" s="106" t="n">
        <v>0</v>
      </c>
      <c r="J16" s="106" t="n">
        <v>10</v>
      </c>
      <c r="K16" s="188" t="n">
        <v>63</v>
      </c>
      <c r="L16" s="188" t="str">
        <f aca="false">IF(K16&gt;=65,"High",IF(K16&gt;=35,"Medium","Low"))</f>
        <v>Medium</v>
      </c>
      <c r="M16" s="179" t="s">
        <v>152</v>
      </c>
    </row>
    <row r="17" customFormat="false" ht="15" hidden="false" customHeight="false" outlineLevel="0" collapsed="false">
      <c r="A17" s="102" t="s">
        <v>92</v>
      </c>
      <c r="B17" s="177" t="s">
        <v>93</v>
      </c>
      <c r="C17" s="102" t="s">
        <v>11</v>
      </c>
      <c r="D17" s="177" t="s">
        <v>22</v>
      </c>
      <c r="E17" s="177" t="s">
        <v>430</v>
      </c>
      <c r="F17" s="177" t="s">
        <v>356</v>
      </c>
      <c r="G17" s="102" t="n">
        <v>156</v>
      </c>
      <c r="H17" s="102" t="n">
        <v>3</v>
      </c>
      <c r="I17" s="102" t="n">
        <v>10</v>
      </c>
      <c r="J17" s="102" t="n">
        <v>0</v>
      </c>
      <c r="K17" s="186" t="n">
        <v>63</v>
      </c>
      <c r="L17" s="186" t="str">
        <f aca="false">IF(K17&gt;=65,"High",IF(K17&gt;=35,"Medium","Low"))</f>
        <v>Medium</v>
      </c>
      <c r="M17" s="177" t="s">
        <v>152</v>
      </c>
    </row>
    <row r="18" customFormat="false" ht="15" hidden="false" customHeight="false" outlineLevel="0" collapsed="false">
      <c r="A18" s="106" t="s">
        <v>474</v>
      </c>
      <c r="B18" s="179" t="s">
        <v>475</v>
      </c>
      <c r="C18" s="106" t="s">
        <v>11</v>
      </c>
      <c r="D18" s="179" t="s">
        <v>25</v>
      </c>
      <c r="E18" s="179" t="s">
        <v>476</v>
      </c>
      <c r="F18" s="179" t="s">
        <v>377</v>
      </c>
      <c r="G18" s="106" t="n">
        <v>-184</v>
      </c>
      <c r="H18" s="106" t="n">
        <v>3</v>
      </c>
      <c r="I18" s="106" t="n">
        <v>5</v>
      </c>
      <c r="J18" s="106" t="n">
        <v>5</v>
      </c>
      <c r="K18" s="188" t="n">
        <v>63</v>
      </c>
      <c r="L18" s="188" t="str">
        <f aca="false">IF(K18&gt;=65,"High",IF(K18&gt;=35,"Medium","Low"))</f>
        <v>Medium</v>
      </c>
      <c r="M18" s="179" t="s">
        <v>152</v>
      </c>
    </row>
    <row r="19" customFormat="false" ht="15" hidden="false" customHeight="false" outlineLevel="0" collapsed="false">
      <c r="A19" s="102" t="s">
        <v>525</v>
      </c>
      <c r="B19" s="177" t="s">
        <v>526</v>
      </c>
      <c r="C19" s="102" t="s">
        <v>12</v>
      </c>
      <c r="D19" s="177" t="s">
        <v>21</v>
      </c>
      <c r="E19" s="177" t="s">
        <v>419</v>
      </c>
      <c r="F19" s="177" t="s">
        <v>504</v>
      </c>
      <c r="G19" s="102" t="n">
        <v>103</v>
      </c>
      <c r="H19" s="102" t="n">
        <v>3</v>
      </c>
      <c r="I19" s="102" t="n">
        <v>5</v>
      </c>
      <c r="J19" s="102" t="n">
        <v>5</v>
      </c>
      <c r="K19" s="186" t="n">
        <v>63</v>
      </c>
      <c r="L19" s="186" t="str">
        <f aca="false">IF(K19&gt;=65,"High",IF(K19&gt;=35,"Medium","Low"))</f>
        <v>Medium</v>
      </c>
      <c r="M19" s="177" t="s">
        <v>152</v>
      </c>
    </row>
    <row r="20" customFormat="false" ht="15" hidden="false" customHeight="false" outlineLevel="0" collapsed="false">
      <c r="A20" s="106" t="s">
        <v>74</v>
      </c>
      <c r="B20" s="179" t="s">
        <v>75</v>
      </c>
      <c r="C20" s="106" t="s">
        <v>11</v>
      </c>
      <c r="D20" s="179" t="s">
        <v>20</v>
      </c>
      <c r="E20" s="179" t="s">
        <v>410</v>
      </c>
      <c r="F20" s="179" t="s">
        <v>343</v>
      </c>
      <c r="G20" s="106" t="n">
        <v>168</v>
      </c>
      <c r="H20" s="106" t="n">
        <v>3</v>
      </c>
      <c r="I20" s="106" t="n">
        <v>5</v>
      </c>
      <c r="J20" s="106" t="n">
        <v>0</v>
      </c>
      <c r="K20" s="188" t="n">
        <v>58</v>
      </c>
      <c r="L20" s="188" t="str">
        <f aca="false">IF(K20&gt;=65,"High",IF(K20&gt;=35,"Medium","Low"))</f>
        <v>Medium</v>
      </c>
      <c r="M20" s="179" t="s">
        <v>152</v>
      </c>
    </row>
    <row r="21" customFormat="false" ht="15" hidden="false" customHeight="false" outlineLevel="0" collapsed="false">
      <c r="A21" s="102" t="s">
        <v>90</v>
      </c>
      <c r="B21" s="177" t="s">
        <v>91</v>
      </c>
      <c r="C21" s="102" t="s">
        <v>11</v>
      </c>
      <c r="D21" s="177" t="s">
        <v>21</v>
      </c>
      <c r="E21" s="177" t="s">
        <v>419</v>
      </c>
      <c r="F21" s="177" t="s">
        <v>164</v>
      </c>
      <c r="G21" s="102" t="n">
        <v>156</v>
      </c>
      <c r="H21" s="102" t="n">
        <v>3</v>
      </c>
      <c r="I21" s="102" t="n">
        <v>0</v>
      </c>
      <c r="J21" s="102" t="n">
        <v>5</v>
      </c>
      <c r="K21" s="186" t="n">
        <v>58</v>
      </c>
      <c r="L21" s="186" t="str">
        <f aca="false">IF(K21&gt;=65,"High",IF(K21&gt;=35,"Medium","Low"))</f>
        <v>Medium</v>
      </c>
      <c r="M21" s="177" t="s">
        <v>152</v>
      </c>
    </row>
    <row r="22" customFormat="false" ht="15" hidden="false" customHeight="false" outlineLevel="0" collapsed="false">
      <c r="A22" s="106" t="s">
        <v>64</v>
      </c>
      <c r="B22" s="179" t="s">
        <v>65</v>
      </c>
      <c r="C22" s="106" t="s">
        <v>11</v>
      </c>
      <c r="D22" s="179" t="s">
        <v>21</v>
      </c>
      <c r="E22" s="179" t="s">
        <v>429</v>
      </c>
      <c r="F22" s="179" t="s">
        <v>348</v>
      </c>
      <c r="G22" s="106" t="n">
        <v>-81</v>
      </c>
      <c r="H22" s="106" t="n">
        <v>3</v>
      </c>
      <c r="I22" s="106" t="n">
        <v>5</v>
      </c>
      <c r="J22" s="106" t="n">
        <v>0</v>
      </c>
      <c r="K22" s="188" t="n">
        <v>58</v>
      </c>
      <c r="L22" s="188" t="str">
        <f aca="false">IF(K22&gt;=65,"High",IF(K22&gt;=35,"Medium","Low"))</f>
        <v>Medium</v>
      </c>
      <c r="M22" s="179" t="s">
        <v>152</v>
      </c>
    </row>
    <row r="23" customFormat="false" ht="15" hidden="false" customHeight="false" outlineLevel="0" collapsed="false">
      <c r="A23" s="102" t="s">
        <v>70</v>
      </c>
      <c r="B23" s="177" t="s">
        <v>71</v>
      </c>
      <c r="C23" s="102" t="s">
        <v>11</v>
      </c>
      <c r="D23" s="177" t="s">
        <v>22</v>
      </c>
      <c r="E23" s="177" t="s">
        <v>430</v>
      </c>
      <c r="F23" s="177" t="s">
        <v>361</v>
      </c>
      <c r="G23" s="102" t="n">
        <v>177</v>
      </c>
      <c r="H23" s="102" t="n">
        <v>3</v>
      </c>
      <c r="I23" s="102" t="n">
        <v>0</v>
      </c>
      <c r="J23" s="102" t="n">
        <v>5</v>
      </c>
      <c r="K23" s="186" t="n">
        <v>58</v>
      </c>
      <c r="L23" s="186" t="str">
        <f aca="false">IF(K23&gt;=65,"High",IF(K23&gt;=35,"Medium","Low"))</f>
        <v>Medium</v>
      </c>
      <c r="M23" s="177" t="s">
        <v>152</v>
      </c>
    </row>
    <row r="24" customFormat="false" ht="15" hidden="false" customHeight="false" outlineLevel="0" collapsed="false">
      <c r="A24" s="106" t="s">
        <v>88</v>
      </c>
      <c r="B24" s="179" t="s">
        <v>89</v>
      </c>
      <c r="C24" s="106" t="s">
        <v>11</v>
      </c>
      <c r="D24" s="179" t="s">
        <v>25</v>
      </c>
      <c r="E24" s="179" t="s">
        <v>466</v>
      </c>
      <c r="F24" s="179" t="s">
        <v>380</v>
      </c>
      <c r="G24" s="106" t="n">
        <v>160</v>
      </c>
      <c r="H24" s="106" t="n">
        <v>3</v>
      </c>
      <c r="I24" s="106" t="n">
        <v>5</v>
      </c>
      <c r="J24" s="106" t="n">
        <v>0</v>
      </c>
      <c r="K24" s="188" t="n">
        <v>58</v>
      </c>
      <c r="L24" s="188" t="str">
        <f aca="false">IF(K24&gt;=65,"High",IF(K24&gt;=35,"Medium","Low"))</f>
        <v>Medium</v>
      </c>
      <c r="M24" s="179" t="s">
        <v>152</v>
      </c>
    </row>
    <row r="25" customFormat="false" ht="15" hidden="false" customHeight="false" outlineLevel="0" collapsed="false">
      <c r="A25" s="102" t="s">
        <v>82</v>
      </c>
      <c r="B25" s="177" t="s">
        <v>83</v>
      </c>
      <c r="C25" s="102" t="s">
        <v>12</v>
      </c>
      <c r="D25" s="177" t="s">
        <v>16</v>
      </c>
      <c r="E25" s="177" t="s">
        <v>398</v>
      </c>
      <c r="F25" s="177" t="s">
        <v>114</v>
      </c>
      <c r="G25" s="102" t="n">
        <v>163</v>
      </c>
      <c r="H25" s="102" t="n">
        <v>3</v>
      </c>
      <c r="I25" s="102" t="n">
        <v>0</v>
      </c>
      <c r="J25" s="102" t="n">
        <v>5</v>
      </c>
      <c r="K25" s="186" t="n">
        <v>58</v>
      </c>
      <c r="L25" s="186" t="str">
        <f aca="false">IF(K25&gt;=65,"High",IF(K25&gt;=35,"Medium","Low"))</f>
        <v>Medium</v>
      </c>
      <c r="M25" s="177" t="s">
        <v>152</v>
      </c>
    </row>
    <row r="26" customFormat="false" ht="15" hidden="false" customHeight="false" outlineLevel="0" collapsed="false">
      <c r="A26" s="106" t="s">
        <v>529</v>
      </c>
      <c r="B26" s="179" t="s">
        <v>530</v>
      </c>
      <c r="C26" s="106" t="s">
        <v>12</v>
      </c>
      <c r="D26" s="179" t="s">
        <v>22</v>
      </c>
      <c r="E26" s="179" t="s">
        <v>430</v>
      </c>
      <c r="F26" s="179" t="s">
        <v>126</v>
      </c>
      <c r="G26" s="106" t="n">
        <v>38</v>
      </c>
      <c r="H26" s="106" t="n">
        <v>3</v>
      </c>
      <c r="I26" s="106" t="n">
        <v>5</v>
      </c>
      <c r="J26" s="106" t="n">
        <v>0</v>
      </c>
      <c r="K26" s="188" t="n">
        <v>58</v>
      </c>
      <c r="L26" s="188" t="str">
        <f aca="false">IF(K26&gt;=65,"High",IF(K26&gt;=35,"Medium","Low"))</f>
        <v>Medium</v>
      </c>
      <c r="M26" s="179" t="s">
        <v>152</v>
      </c>
    </row>
    <row r="27" customFormat="false" ht="15" hidden="false" customHeight="false" outlineLevel="0" collapsed="false">
      <c r="A27" s="102" t="s">
        <v>537</v>
      </c>
      <c r="B27" s="177" t="s">
        <v>538</v>
      </c>
      <c r="C27" s="102" t="s">
        <v>12</v>
      </c>
      <c r="D27" s="177" t="s">
        <v>23</v>
      </c>
      <c r="E27" s="177" t="s">
        <v>441</v>
      </c>
      <c r="F27" s="177" t="s">
        <v>508</v>
      </c>
      <c r="G27" s="102" t="n">
        <v>115</v>
      </c>
      <c r="H27" s="102" t="n">
        <v>3</v>
      </c>
      <c r="I27" s="102" t="n">
        <v>5</v>
      </c>
      <c r="J27" s="102" t="n">
        <v>0</v>
      </c>
      <c r="K27" s="186" t="n">
        <v>58</v>
      </c>
      <c r="L27" s="186" t="str">
        <f aca="false">IF(K27&gt;=65,"High",IF(K27&gt;=35,"Medium","Low"))</f>
        <v>Medium</v>
      </c>
      <c r="M27" s="177" t="s">
        <v>152</v>
      </c>
    </row>
    <row r="28" customFormat="false" ht="15" hidden="false" customHeight="false" outlineLevel="0" collapsed="false">
      <c r="A28" s="106" t="s">
        <v>382</v>
      </c>
      <c r="B28" s="179" t="s">
        <v>383</v>
      </c>
      <c r="C28" s="106" t="s">
        <v>11</v>
      </c>
      <c r="D28" s="179" t="s">
        <v>15</v>
      </c>
      <c r="E28" s="179" t="s">
        <v>384</v>
      </c>
      <c r="F28" s="179" t="s">
        <v>331</v>
      </c>
      <c r="G28" s="106" t="n">
        <v>140</v>
      </c>
      <c r="H28" s="106" t="n">
        <v>3</v>
      </c>
      <c r="I28" s="106" t="n">
        <v>0</v>
      </c>
      <c r="J28" s="106" t="n">
        <v>0</v>
      </c>
      <c r="K28" s="188" t="n">
        <v>53</v>
      </c>
      <c r="L28" s="188" t="str">
        <f aca="false">IF(K28&gt;=65,"High",IF(K28&gt;=35,"Medium","Low"))</f>
        <v>Medium</v>
      </c>
      <c r="M28" s="179" t="s">
        <v>152</v>
      </c>
    </row>
    <row r="29" customFormat="false" ht="15" hidden="false" customHeight="false" outlineLevel="0" collapsed="false">
      <c r="A29" s="102" t="s">
        <v>80</v>
      </c>
      <c r="B29" s="177" t="s">
        <v>81</v>
      </c>
      <c r="C29" s="102" t="s">
        <v>11</v>
      </c>
      <c r="D29" s="177" t="s">
        <v>15</v>
      </c>
      <c r="E29" s="177" t="s">
        <v>393</v>
      </c>
      <c r="F29" s="177" t="s">
        <v>324</v>
      </c>
      <c r="G29" s="102" t="n">
        <v>-50</v>
      </c>
      <c r="H29" s="102" t="n">
        <v>3</v>
      </c>
      <c r="I29" s="102" t="n">
        <v>0</v>
      </c>
      <c r="J29" s="102" t="n">
        <v>0</v>
      </c>
      <c r="K29" s="186" t="n">
        <v>53</v>
      </c>
      <c r="L29" s="186" t="str">
        <f aca="false">IF(K29&gt;=65,"High",IF(K29&gt;=35,"Medium","Low"))</f>
        <v>Medium</v>
      </c>
      <c r="M29" s="177" t="s">
        <v>152</v>
      </c>
    </row>
    <row r="30" customFormat="false" ht="15" hidden="false" customHeight="false" outlineLevel="0" collapsed="false">
      <c r="A30" s="106" t="s">
        <v>408</v>
      </c>
      <c r="B30" s="179" t="s">
        <v>409</v>
      </c>
      <c r="C30" s="106" t="s">
        <v>11</v>
      </c>
      <c r="D30" s="179" t="s">
        <v>16</v>
      </c>
      <c r="E30" s="179" t="s">
        <v>407</v>
      </c>
      <c r="F30" s="179" t="s">
        <v>336</v>
      </c>
      <c r="G30" s="106" t="n">
        <v>440</v>
      </c>
      <c r="H30" s="106" t="n">
        <v>3</v>
      </c>
      <c r="I30" s="106" t="n">
        <v>10</v>
      </c>
      <c r="J30" s="106" t="n">
        <v>10</v>
      </c>
      <c r="K30" s="188" t="n">
        <v>53</v>
      </c>
      <c r="L30" s="188" t="str">
        <f aca="false">IF(K30&gt;=65,"High",IF(K30&gt;=35,"Medium","Low"))</f>
        <v>Medium</v>
      </c>
      <c r="M30" s="179" t="s">
        <v>152</v>
      </c>
    </row>
    <row r="31" customFormat="false" ht="15" hidden="false" customHeight="false" outlineLevel="0" collapsed="false">
      <c r="A31" s="102" t="s">
        <v>78</v>
      </c>
      <c r="B31" s="177" t="s">
        <v>79</v>
      </c>
      <c r="C31" s="102" t="s">
        <v>11</v>
      </c>
      <c r="D31" s="177" t="s">
        <v>21</v>
      </c>
      <c r="E31" s="177" t="s">
        <v>419</v>
      </c>
      <c r="F31" s="177" t="s">
        <v>164</v>
      </c>
      <c r="G31" s="102" t="n">
        <v>166</v>
      </c>
      <c r="H31" s="102" t="n">
        <v>3</v>
      </c>
      <c r="I31" s="102" t="n">
        <v>0</v>
      </c>
      <c r="J31" s="102" t="n">
        <v>0</v>
      </c>
      <c r="K31" s="186" t="n">
        <v>53</v>
      </c>
      <c r="L31" s="186" t="str">
        <f aca="false">IF(K31&gt;=65,"High",IF(K31&gt;=35,"Medium","Low"))</f>
        <v>Medium</v>
      </c>
      <c r="M31" s="177" t="s">
        <v>152</v>
      </c>
    </row>
    <row r="32" customFormat="false" ht="15" hidden="false" customHeight="false" outlineLevel="0" collapsed="false">
      <c r="A32" s="106" t="s">
        <v>58</v>
      </c>
      <c r="B32" s="179" t="s">
        <v>59</v>
      </c>
      <c r="C32" s="106" t="s">
        <v>11</v>
      </c>
      <c r="D32" s="179" t="s">
        <v>23</v>
      </c>
      <c r="E32" s="179" t="s">
        <v>441</v>
      </c>
      <c r="F32" s="179" t="s">
        <v>119</v>
      </c>
      <c r="G32" s="106" t="n">
        <v>179</v>
      </c>
      <c r="H32" s="106" t="n">
        <v>3</v>
      </c>
      <c r="I32" s="106" t="n">
        <v>0</v>
      </c>
      <c r="J32" s="106" t="n">
        <v>0</v>
      </c>
      <c r="K32" s="188" t="n">
        <v>53</v>
      </c>
      <c r="L32" s="188" t="str">
        <f aca="false">IF(K32&gt;=65,"High",IF(K32&gt;=35,"Medium","Low"))</f>
        <v>Medium</v>
      </c>
      <c r="M32" s="179" t="s">
        <v>152</v>
      </c>
    </row>
    <row r="33" customFormat="false" ht="15" hidden="false" customHeight="false" outlineLevel="0" collapsed="false">
      <c r="A33" s="102" t="s">
        <v>463</v>
      </c>
      <c r="B33" s="177" t="s">
        <v>464</v>
      </c>
      <c r="C33" s="102" t="s">
        <v>11</v>
      </c>
      <c r="D33" s="177" t="s">
        <v>24</v>
      </c>
      <c r="E33" s="177" t="s">
        <v>462</v>
      </c>
      <c r="F33" s="177" t="s">
        <v>373</v>
      </c>
      <c r="G33" s="102" t="n">
        <v>494</v>
      </c>
      <c r="H33" s="102" t="n">
        <v>3</v>
      </c>
      <c r="I33" s="102" t="n">
        <v>5</v>
      </c>
      <c r="J33" s="102" t="n">
        <v>15</v>
      </c>
      <c r="K33" s="186" t="n">
        <v>53</v>
      </c>
      <c r="L33" s="186" t="str">
        <f aca="false">IF(K33&gt;=65,"High",IF(K33&gt;=35,"Medium","Low"))</f>
        <v>Medium</v>
      </c>
      <c r="M33" s="177" t="s">
        <v>152</v>
      </c>
    </row>
    <row r="34" customFormat="false" ht="15" hidden="false" customHeight="false" outlineLevel="0" collapsed="false">
      <c r="A34" s="106" t="s">
        <v>96</v>
      </c>
      <c r="B34" s="179" t="s">
        <v>97</v>
      </c>
      <c r="C34" s="106" t="s">
        <v>12</v>
      </c>
      <c r="D34" s="179" t="s">
        <v>20</v>
      </c>
      <c r="E34" s="179" t="s">
        <v>410</v>
      </c>
      <c r="F34" s="179" t="s">
        <v>500</v>
      </c>
      <c r="G34" s="106" t="n">
        <v>153</v>
      </c>
      <c r="H34" s="106" t="n">
        <v>3</v>
      </c>
      <c r="I34" s="106" t="n">
        <v>0</v>
      </c>
      <c r="J34" s="106" t="n">
        <v>0</v>
      </c>
      <c r="K34" s="188" t="n">
        <v>53</v>
      </c>
      <c r="L34" s="188" t="str">
        <f aca="false">IF(K34&gt;=65,"High",IF(K34&gt;=35,"Medium","Low"))</f>
        <v>Medium</v>
      </c>
      <c r="M34" s="179" t="s">
        <v>152</v>
      </c>
    </row>
    <row r="35" customFormat="false" ht="15" hidden="false" customHeight="false" outlineLevel="0" collapsed="false">
      <c r="A35" s="102" t="s">
        <v>60</v>
      </c>
      <c r="B35" s="177" t="s">
        <v>61</v>
      </c>
      <c r="C35" s="102" t="s">
        <v>11</v>
      </c>
      <c r="D35" s="177" t="s">
        <v>22</v>
      </c>
      <c r="E35" s="177" t="s">
        <v>440</v>
      </c>
      <c r="F35" s="177" t="s">
        <v>361</v>
      </c>
      <c r="G35" s="102" t="n">
        <v>450</v>
      </c>
      <c r="H35" s="102" t="n">
        <v>3</v>
      </c>
      <c r="I35" s="102" t="n">
        <v>5</v>
      </c>
      <c r="J35" s="102" t="n">
        <v>10</v>
      </c>
      <c r="K35" s="186" t="n">
        <v>48</v>
      </c>
      <c r="L35" s="186" t="str">
        <f aca="false">IF(K35&gt;=65,"High",IF(K35&gt;=35,"Medium","Low"))</f>
        <v>Medium</v>
      </c>
      <c r="M35" s="177" t="s">
        <v>152</v>
      </c>
    </row>
    <row r="36" customFormat="false" ht="15" hidden="false" customHeight="false" outlineLevel="0" collapsed="false">
      <c r="A36" s="106" t="s">
        <v>360</v>
      </c>
      <c r="B36" s="179" t="s">
        <v>361</v>
      </c>
      <c r="C36" s="106" t="s">
        <v>11</v>
      </c>
      <c r="D36" s="179" t="s">
        <v>22</v>
      </c>
      <c r="E36" s="179" t="s">
        <v>357</v>
      </c>
      <c r="F36" s="179" t="s">
        <v>308</v>
      </c>
      <c r="G36" s="106" t="n">
        <v>2504</v>
      </c>
      <c r="H36" s="106" t="n">
        <v>3</v>
      </c>
      <c r="I36" s="106" t="n">
        <v>20</v>
      </c>
      <c r="J36" s="106" t="n">
        <v>15</v>
      </c>
      <c r="K36" s="188" t="n">
        <v>46</v>
      </c>
      <c r="L36" s="188" t="str">
        <f aca="false">IF(K36&gt;=65,"High",IF(K36&gt;=35,"Medium","Low"))</f>
        <v>Medium</v>
      </c>
      <c r="M36" s="179" t="s">
        <v>1938</v>
      </c>
    </row>
    <row r="37" customFormat="false" ht="15" hidden="false" customHeight="false" outlineLevel="0" collapsed="false">
      <c r="A37" s="102" t="s">
        <v>447</v>
      </c>
      <c r="B37" s="177" t="s">
        <v>448</v>
      </c>
      <c r="C37" s="102" t="s">
        <v>11</v>
      </c>
      <c r="D37" s="177" t="s">
        <v>23</v>
      </c>
      <c r="E37" s="177" t="s">
        <v>449</v>
      </c>
      <c r="F37" s="177" t="s">
        <v>364</v>
      </c>
      <c r="G37" s="102" t="n">
        <v>312</v>
      </c>
      <c r="H37" s="102" t="n">
        <v>3</v>
      </c>
      <c r="I37" s="102" t="n">
        <v>10</v>
      </c>
      <c r="J37" s="102" t="n">
        <v>0</v>
      </c>
      <c r="K37" s="186" t="n">
        <v>43</v>
      </c>
      <c r="L37" s="186" t="str">
        <f aca="false">IF(K37&gt;=65,"High",IF(K37&gt;=35,"Medium","Low"))</f>
        <v>Medium</v>
      </c>
      <c r="M37" s="177" t="s">
        <v>152</v>
      </c>
    </row>
    <row r="38" customFormat="false" ht="15" hidden="false" customHeight="false" outlineLevel="0" collapsed="false">
      <c r="A38" s="106" t="s">
        <v>458</v>
      </c>
      <c r="B38" s="179" t="s">
        <v>459</v>
      </c>
      <c r="C38" s="106" t="s">
        <v>11</v>
      </c>
      <c r="D38" s="179" t="s">
        <v>24</v>
      </c>
      <c r="E38" s="179" t="s">
        <v>451</v>
      </c>
      <c r="F38" s="179" t="s">
        <v>297</v>
      </c>
      <c r="G38" s="106" t="n">
        <v>702</v>
      </c>
      <c r="H38" s="106" t="n">
        <v>3</v>
      </c>
      <c r="I38" s="106" t="n">
        <v>20</v>
      </c>
      <c r="J38" s="106" t="n">
        <v>5</v>
      </c>
      <c r="K38" s="188" t="n">
        <v>43</v>
      </c>
      <c r="L38" s="188" t="str">
        <f aca="false">IF(K38&gt;=65,"High",IF(K38&gt;=35,"Medium","Low"))</f>
        <v>Medium</v>
      </c>
      <c r="M38" s="179" t="s">
        <v>1938</v>
      </c>
    </row>
    <row r="39" customFormat="false" ht="15" hidden="false" customHeight="false" outlineLevel="0" collapsed="false">
      <c r="A39" s="102" t="s">
        <v>460</v>
      </c>
      <c r="B39" s="177" t="s">
        <v>461</v>
      </c>
      <c r="C39" s="102" t="s">
        <v>11</v>
      </c>
      <c r="D39" s="177" t="s">
        <v>24</v>
      </c>
      <c r="E39" s="177" t="s">
        <v>462</v>
      </c>
      <c r="F39" s="177" t="s">
        <v>373</v>
      </c>
      <c r="G39" s="102" t="n">
        <v>377</v>
      </c>
      <c r="H39" s="102" t="n">
        <v>3</v>
      </c>
      <c r="I39" s="102" t="n">
        <v>10</v>
      </c>
      <c r="J39" s="102" t="n">
        <v>0</v>
      </c>
      <c r="K39" s="186" t="n">
        <v>43</v>
      </c>
      <c r="L39" s="186" t="str">
        <f aca="false">IF(K39&gt;=65,"High",IF(K39&gt;=35,"Medium","Low"))</f>
        <v>Medium</v>
      </c>
      <c r="M39" s="177" t="s">
        <v>152</v>
      </c>
    </row>
    <row r="40" customFormat="false" ht="15" hidden="false" customHeight="false" outlineLevel="0" collapsed="false">
      <c r="A40" s="106" t="s">
        <v>519</v>
      </c>
      <c r="B40" s="179" t="s">
        <v>520</v>
      </c>
      <c r="C40" s="106" t="s">
        <v>12</v>
      </c>
      <c r="D40" s="179" t="s">
        <v>16</v>
      </c>
      <c r="E40" s="179" t="s">
        <v>407</v>
      </c>
      <c r="F40" s="179" t="s">
        <v>114</v>
      </c>
      <c r="G40" s="106" t="n">
        <v>229</v>
      </c>
      <c r="H40" s="106" t="n">
        <v>3</v>
      </c>
      <c r="I40" s="106" t="n">
        <v>5</v>
      </c>
      <c r="J40" s="106" t="n">
        <v>5</v>
      </c>
      <c r="K40" s="188" t="n">
        <v>43</v>
      </c>
      <c r="L40" s="188" t="str">
        <f aca="false">IF(K40&gt;=65,"High",IF(K40&gt;=35,"Medium","Low"))</f>
        <v>Medium</v>
      </c>
      <c r="M40" s="179" t="s">
        <v>152</v>
      </c>
    </row>
    <row r="41" customFormat="false" ht="15" hidden="false" customHeight="false" outlineLevel="0" collapsed="false">
      <c r="A41" s="102" t="s">
        <v>303</v>
      </c>
      <c r="B41" s="177" t="s">
        <v>304</v>
      </c>
      <c r="C41" s="102" t="s">
        <v>11</v>
      </c>
      <c r="D41" s="177" t="s">
        <v>21</v>
      </c>
      <c r="E41" s="177" t="s">
        <v>305</v>
      </c>
      <c r="F41" s="177" t="s">
        <v>294</v>
      </c>
      <c r="G41" s="102" t="n">
        <v>3701</v>
      </c>
      <c r="H41" s="102" t="n">
        <v>3</v>
      </c>
      <c r="I41" s="102" t="n">
        <v>20</v>
      </c>
      <c r="J41" s="102" t="n">
        <v>10</v>
      </c>
      <c r="K41" s="186" t="n">
        <v>41</v>
      </c>
      <c r="L41" s="186" t="str">
        <f aca="false">IF(K41&gt;=65,"High",IF(K41&gt;=35,"Medium","Low"))</f>
        <v>Medium</v>
      </c>
      <c r="M41" s="177" t="s">
        <v>1938</v>
      </c>
    </row>
    <row r="42" customFormat="false" ht="15" hidden="false" customHeight="false" outlineLevel="0" collapsed="false">
      <c r="A42" s="106" t="s">
        <v>315</v>
      </c>
      <c r="B42" s="179" t="s">
        <v>316</v>
      </c>
      <c r="C42" s="106" t="s">
        <v>11</v>
      </c>
      <c r="D42" s="179" t="s">
        <v>24</v>
      </c>
      <c r="E42" s="179" t="s">
        <v>317</v>
      </c>
      <c r="F42" s="179" t="s">
        <v>294</v>
      </c>
      <c r="G42" s="106" t="n">
        <v>2491</v>
      </c>
      <c r="H42" s="106" t="n">
        <v>3</v>
      </c>
      <c r="I42" s="106" t="n">
        <v>20</v>
      </c>
      <c r="J42" s="106" t="n">
        <v>10</v>
      </c>
      <c r="K42" s="188" t="n">
        <v>41</v>
      </c>
      <c r="L42" s="188" t="str">
        <f aca="false">IF(K42&gt;=65,"High",IF(K42&gt;=35,"Medium","Low"))</f>
        <v>Medium</v>
      </c>
      <c r="M42" s="179" t="s">
        <v>1938</v>
      </c>
    </row>
    <row r="43" customFormat="false" ht="15" hidden="false" customHeight="false" outlineLevel="0" collapsed="false">
      <c r="A43" s="102" t="s">
        <v>402</v>
      </c>
      <c r="B43" s="177" t="s">
        <v>403</v>
      </c>
      <c r="C43" s="102" t="s">
        <v>11</v>
      </c>
      <c r="D43" s="177" t="s">
        <v>16</v>
      </c>
      <c r="E43" s="177" t="s">
        <v>397</v>
      </c>
      <c r="F43" s="177" t="s">
        <v>333</v>
      </c>
      <c r="G43" s="102" t="n">
        <v>539</v>
      </c>
      <c r="H43" s="102" t="n">
        <v>3</v>
      </c>
      <c r="I43" s="102" t="n">
        <v>5</v>
      </c>
      <c r="J43" s="102" t="n">
        <v>0</v>
      </c>
      <c r="K43" s="186" t="n">
        <v>38</v>
      </c>
      <c r="L43" s="186" t="str">
        <f aca="false">IF(K43&gt;=65,"High",IF(K43&gt;=35,"Medium","Low"))</f>
        <v>Medium</v>
      </c>
      <c r="M43" s="177" t="s">
        <v>152</v>
      </c>
    </row>
    <row r="44" customFormat="false" ht="15" hidden="false" customHeight="false" outlineLevel="0" collapsed="false">
      <c r="A44" s="106" t="s">
        <v>72</v>
      </c>
      <c r="B44" s="179" t="s">
        <v>73</v>
      </c>
      <c r="C44" s="106" t="s">
        <v>11</v>
      </c>
      <c r="D44" s="179" t="s">
        <v>16</v>
      </c>
      <c r="E44" s="179" t="s">
        <v>407</v>
      </c>
      <c r="F44" s="179" t="s">
        <v>333</v>
      </c>
      <c r="G44" s="106" t="n">
        <v>301</v>
      </c>
      <c r="H44" s="106" t="n">
        <v>3</v>
      </c>
      <c r="I44" s="106" t="n">
        <v>5</v>
      </c>
      <c r="J44" s="106" t="n">
        <v>0</v>
      </c>
      <c r="K44" s="188" t="n">
        <v>38</v>
      </c>
      <c r="L44" s="188" t="str">
        <f aca="false">IF(K44&gt;=65,"High",IF(K44&gt;=35,"Medium","Low"))</f>
        <v>Medium</v>
      </c>
      <c r="M44" s="179" t="s">
        <v>152</v>
      </c>
    </row>
    <row r="45" customFormat="false" ht="15" hidden="false" customHeight="false" outlineLevel="0" collapsed="false">
      <c r="A45" s="102" t="s">
        <v>76</v>
      </c>
      <c r="B45" s="177" t="s">
        <v>77</v>
      </c>
      <c r="C45" s="102" t="s">
        <v>11</v>
      </c>
      <c r="D45" s="177" t="s">
        <v>20</v>
      </c>
      <c r="E45" s="177" t="s">
        <v>417</v>
      </c>
      <c r="F45" s="177" t="s">
        <v>339</v>
      </c>
      <c r="G45" s="102" t="n">
        <v>493</v>
      </c>
      <c r="H45" s="102" t="n">
        <v>3</v>
      </c>
      <c r="I45" s="102" t="n">
        <v>5</v>
      </c>
      <c r="J45" s="102" t="n">
        <v>0</v>
      </c>
      <c r="K45" s="186" t="n">
        <v>38</v>
      </c>
      <c r="L45" s="186" t="str">
        <f aca="false">IF(K45&gt;=65,"High",IF(K45&gt;=35,"Medium","Low"))</f>
        <v>Medium</v>
      </c>
      <c r="M45" s="177" t="s">
        <v>152</v>
      </c>
    </row>
    <row r="46" customFormat="false" ht="15" hidden="false" customHeight="false" outlineLevel="0" collapsed="false">
      <c r="A46" s="106" t="s">
        <v>56</v>
      </c>
      <c r="B46" s="179" t="s">
        <v>57</v>
      </c>
      <c r="C46" s="106" t="s">
        <v>11</v>
      </c>
      <c r="D46" s="179" t="s">
        <v>20</v>
      </c>
      <c r="E46" s="179" t="s">
        <v>417</v>
      </c>
      <c r="F46" s="179" t="s">
        <v>343</v>
      </c>
      <c r="G46" s="106" t="n">
        <v>337</v>
      </c>
      <c r="H46" s="106" t="n">
        <v>3</v>
      </c>
      <c r="I46" s="106" t="n">
        <v>5</v>
      </c>
      <c r="J46" s="106" t="n">
        <v>0</v>
      </c>
      <c r="K46" s="188" t="n">
        <v>38</v>
      </c>
      <c r="L46" s="188" t="str">
        <f aca="false">IF(K46&gt;=65,"High",IF(K46&gt;=35,"Medium","Low"))</f>
        <v>Medium</v>
      </c>
      <c r="M46" s="179" t="s">
        <v>152</v>
      </c>
    </row>
    <row r="47" customFormat="false" ht="15" hidden="false" customHeight="false" outlineLevel="0" collapsed="false">
      <c r="A47" s="102" t="s">
        <v>423</v>
      </c>
      <c r="B47" s="177" t="s">
        <v>424</v>
      </c>
      <c r="C47" s="102" t="s">
        <v>11</v>
      </c>
      <c r="D47" s="177" t="s">
        <v>21</v>
      </c>
      <c r="E47" s="177" t="s">
        <v>419</v>
      </c>
      <c r="F47" s="177" t="s">
        <v>348</v>
      </c>
      <c r="G47" s="102" t="n">
        <v>733</v>
      </c>
      <c r="H47" s="102" t="n">
        <v>3</v>
      </c>
      <c r="I47" s="102" t="n">
        <v>5</v>
      </c>
      <c r="J47" s="102" t="n">
        <v>15</v>
      </c>
      <c r="K47" s="186" t="n">
        <v>38</v>
      </c>
      <c r="L47" s="186" t="str">
        <f aca="false">IF(K47&gt;=65,"High",IF(K47&gt;=35,"Medium","Low"))</f>
        <v>Medium</v>
      </c>
      <c r="M47" s="177" t="s">
        <v>152</v>
      </c>
    </row>
    <row r="48" customFormat="false" ht="15" hidden="false" customHeight="false" outlineLevel="0" collapsed="false">
      <c r="A48" s="106" t="s">
        <v>425</v>
      </c>
      <c r="B48" s="179" t="s">
        <v>426</v>
      </c>
      <c r="C48" s="106" t="s">
        <v>11</v>
      </c>
      <c r="D48" s="179" t="s">
        <v>21</v>
      </c>
      <c r="E48" s="179" t="s">
        <v>427</v>
      </c>
      <c r="F48" s="179" t="s">
        <v>164</v>
      </c>
      <c r="G48" s="106" t="n">
        <v>948</v>
      </c>
      <c r="H48" s="106" t="n">
        <v>3</v>
      </c>
      <c r="I48" s="106" t="n">
        <v>5</v>
      </c>
      <c r="J48" s="106" t="n">
        <v>15</v>
      </c>
      <c r="K48" s="188" t="n">
        <v>38</v>
      </c>
      <c r="L48" s="188" t="str">
        <f aca="false">IF(K48&gt;=65,"High",IF(K48&gt;=35,"Medium","Low"))</f>
        <v>Medium</v>
      </c>
      <c r="M48" s="179" t="s">
        <v>152</v>
      </c>
    </row>
    <row r="49" customFormat="false" ht="15" hidden="false" customHeight="false" outlineLevel="0" collapsed="false">
      <c r="A49" s="102" t="s">
        <v>496</v>
      </c>
      <c r="B49" s="177" t="s">
        <v>114</v>
      </c>
      <c r="C49" s="102" t="s">
        <v>12</v>
      </c>
      <c r="D49" s="177" t="s">
        <v>16</v>
      </c>
      <c r="E49" s="177" t="s">
        <v>334</v>
      </c>
      <c r="F49" s="177" t="s">
        <v>122</v>
      </c>
      <c r="G49" s="102" t="n">
        <v>1046</v>
      </c>
      <c r="H49" s="102" t="n">
        <v>3</v>
      </c>
      <c r="I49" s="102" t="n">
        <v>10</v>
      </c>
      <c r="J49" s="102" t="n">
        <v>10</v>
      </c>
      <c r="K49" s="186" t="n">
        <v>38</v>
      </c>
      <c r="L49" s="186" t="str">
        <f aca="false">IF(K49&gt;=65,"High",IF(K49&gt;=35,"Medium","Low"))</f>
        <v>Medium</v>
      </c>
      <c r="M49" s="177" t="s">
        <v>152</v>
      </c>
    </row>
    <row r="50" customFormat="false" ht="15" hidden="false" customHeight="false" outlineLevel="0" collapsed="false">
      <c r="A50" s="106" t="s">
        <v>533</v>
      </c>
      <c r="B50" s="179" t="s">
        <v>534</v>
      </c>
      <c r="C50" s="106" t="s">
        <v>12</v>
      </c>
      <c r="D50" s="179" t="s">
        <v>22</v>
      </c>
      <c r="E50" s="179" t="s">
        <v>430</v>
      </c>
      <c r="F50" s="179" t="s">
        <v>126</v>
      </c>
      <c r="G50" s="106" t="n">
        <v>1038</v>
      </c>
      <c r="H50" s="106" t="n">
        <v>3</v>
      </c>
      <c r="I50" s="106" t="n">
        <v>10</v>
      </c>
      <c r="J50" s="106" t="n">
        <v>10</v>
      </c>
      <c r="K50" s="188" t="n">
        <v>38</v>
      </c>
      <c r="L50" s="188" t="str">
        <f aca="false">IF(K50&gt;=65,"High",IF(K50&gt;=35,"Medium","Low"))</f>
        <v>Medium</v>
      </c>
      <c r="M50" s="179" t="s">
        <v>152</v>
      </c>
    </row>
    <row r="51" customFormat="false" ht="15" hidden="false" customHeight="false" outlineLevel="0" collapsed="false">
      <c r="A51" s="102" t="s">
        <v>311</v>
      </c>
      <c r="B51" s="177" t="s">
        <v>312</v>
      </c>
      <c r="C51" s="102" t="s">
        <v>11</v>
      </c>
      <c r="D51" s="177" t="s">
        <v>23</v>
      </c>
      <c r="E51" s="177" t="s">
        <v>313</v>
      </c>
      <c r="F51" s="177" t="s">
        <v>294</v>
      </c>
      <c r="G51" s="102" t="n">
        <v>3289</v>
      </c>
      <c r="H51" s="102" t="n">
        <v>3</v>
      </c>
      <c r="I51" s="102" t="n">
        <v>20</v>
      </c>
      <c r="J51" s="102" t="n">
        <v>5</v>
      </c>
      <c r="K51" s="186" t="n">
        <v>36</v>
      </c>
      <c r="L51" s="186" t="str">
        <f aca="false">IF(K51&gt;=65,"High",IF(K51&gt;=35,"Medium","Low"))</f>
        <v>Medium</v>
      </c>
      <c r="M51" s="177" t="s">
        <v>1938</v>
      </c>
    </row>
    <row r="52" customFormat="false" ht="15" hidden="false" customHeight="false" outlineLevel="0" collapsed="false">
      <c r="A52" s="106" t="s">
        <v>363</v>
      </c>
      <c r="B52" s="179" t="s">
        <v>364</v>
      </c>
      <c r="C52" s="106" t="s">
        <v>11</v>
      </c>
      <c r="D52" s="179" t="s">
        <v>23</v>
      </c>
      <c r="E52" s="179" t="s">
        <v>365</v>
      </c>
      <c r="F52" s="179" t="s">
        <v>312</v>
      </c>
      <c r="G52" s="106" t="n">
        <v>2617</v>
      </c>
      <c r="H52" s="106" t="n">
        <v>3</v>
      </c>
      <c r="I52" s="106" t="n">
        <v>20</v>
      </c>
      <c r="J52" s="106" t="n">
        <v>5</v>
      </c>
      <c r="K52" s="188" t="n">
        <v>36</v>
      </c>
      <c r="L52" s="188" t="str">
        <f aca="false">IF(K52&gt;=65,"High",IF(K52&gt;=35,"Medium","Low"))</f>
        <v>Medium</v>
      </c>
      <c r="M52" s="179" t="s">
        <v>1938</v>
      </c>
    </row>
    <row r="53" customFormat="false" ht="15" hidden="false" customHeight="false" outlineLevel="0" collapsed="false">
      <c r="A53" s="102" t="s">
        <v>399</v>
      </c>
      <c r="B53" s="177" t="s">
        <v>400</v>
      </c>
      <c r="C53" s="102" t="s">
        <v>11</v>
      </c>
      <c r="D53" s="177" t="s">
        <v>16</v>
      </c>
      <c r="E53" s="177" t="s">
        <v>397</v>
      </c>
      <c r="F53" s="177" t="s">
        <v>333</v>
      </c>
      <c r="G53" s="102" t="n">
        <v>1471</v>
      </c>
      <c r="H53" s="102" t="n">
        <v>3</v>
      </c>
      <c r="I53" s="102" t="n">
        <v>20</v>
      </c>
      <c r="J53" s="102" t="n">
        <v>5</v>
      </c>
      <c r="K53" s="186" t="n">
        <v>36</v>
      </c>
      <c r="L53" s="186" t="str">
        <f aca="false">IF(K53&gt;=65,"High",IF(K53&gt;=35,"Medium","Low"))</f>
        <v>Medium</v>
      </c>
      <c r="M53" s="177" t="s">
        <v>1938</v>
      </c>
    </row>
    <row r="54" customFormat="false" ht="15" hidden="false" customHeight="false" outlineLevel="0" collapsed="false">
      <c r="A54" s="106" t="s">
        <v>454</v>
      </c>
      <c r="B54" s="179" t="s">
        <v>455</v>
      </c>
      <c r="C54" s="106" t="s">
        <v>11</v>
      </c>
      <c r="D54" s="179" t="s">
        <v>24</v>
      </c>
      <c r="E54" s="179" t="s">
        <v>451</v>
      </c>
      <c r="F54" s="179" t="s">
        <v>373</v>
      </c>
      <c r="G54" s="106" t="n">
        <v>872</v>
      </c>
      <c r="H54" s="106" t="n">
        <v>3</v>
      </c>
      <c r="I54" s="106" t="n">
        <v>0</v>
      </c>
      <c r="J54" s="106" t="n">
        <v>15</v>
      </c>
      <c r="K54" s="188" t="n">
        <v>33</v>
      </c>
      <c r="L54" s="188" t="str">
        <f aca="false">IF(K54&gt;=65,"High",IF(K54&gt;=35,"Medium","Low"))</f>
        <v>Low</v>
      </c>
      <c r="M54" s="179" t="s">
        <v>152</v>
      </c>
    </row>
    <row r="55" customFormat="false" ht="15" hidden="false" customHeight="false" outlineLevel="0" collapsed="false">
      <c r="A55" s="102" t="s">
        <v>510</v>
      </c>
      <c r="B55" s="177" t="s">
        <v>511</v>
      </c>
      <c r="C55" s="102" t="s">
        <v>12</v>
      </c>
      <c r="D55" s="177" t="s">
        <v>15</v>
      </c>
      <c r="E55" s="177" t="s">
        <v>387</v>
      </c>
      <c r="F55" s="177" t="s">
        <v>493</v>
      </c>
      <c r="G55" s="102" t="n">
        <v>794</v>
      </c>
      <c r="H55" s="102" t="n">
        <v>3</v>
      </c>
      <c r="I55" s="102" t="n">
        <v>5</v>
      </c>
      <c r="J55" s="102" t="n">
        <v>10</v>
      </c>
      <c r="K55" s="186" t="n">
        <v>33</v>
      </c>
      <c r="L55" s="186" t="str">
        <f aca="false">IF(K55&gt;=65,"High",IF(K55&gt;=35,"Medium","Low"))</f>
        <v>Low</v>
      </c>
      <c r="M55" s="177" t="s">
        <v>152</v>
      </c>
    </row>
    <row r="56" customFormat="false" ht="15" hidden="false" customHeight="false" outlineLevel="0" collapsed="false">
      <c r="A56" s="106" t="s">
        <v>514</v>
      </c>
      <c r="B56" s="179" t="s">
        <v>515</v>
      </c>
      <c r="C56" s="106" t="s">
        <v>12</v>
      </c>
      <c r="D56" s="179" t="s">
        <v>16</v>
      </c>
      <c r="E56" s="179" t="s">
        <v>398</v>
      </c>
      <c r="F56" s="179" t="s">
        <v>114</v>
      </c>
      <c r="G56" s="106" t="n">
        <v>634</v>
      </c>
      <c r="H56" s="106" t="n">
        <v>3</v>
      </c>
      <c r="I56" s="106" t="n">
        <v>0</v>
      </c>
      <c r="J56" s="106" t="n">
        <v>15</v>
      </c>
      <c r="K56" s="188" t="n">
        <v>33</v>
      </c>
      <c r="L56" s="188" t="str">
        <f aca="false">IF(K56&gt;=65,"High",IF(K56&gt;=35,"Medium","Low"))</f>
        <v>Low</v>
      </c>
      <c r="M56" s="179" t="s">
        <v>152</v>
      </c>
    </row>
    <row r="57" customFormat="false" ht="15" hidden="false" customHeight="false" outlineLevel="0" collapsed="false">
      <c r="A57" s="102" t="s">
        <v>531</v>
      </c>
      <c r="B57" s="177" t="s">
        <v>532</v>
      </c>
      <c r="C57" s="102" t="s">
        <v>12</v>
      </c>
      <c r="D57" s="177" t="s">
        <v>22</v>
      </c>
      <c r="E57" s="177" t="s">
        <v>430</v>
      </c>
      <c r="F57" s="177" t="s">
        <v>126</v>
      </c>
      <c r="G57" s="102" t="n">
        <v>704</v>
      </c>
      <c r="H57" s="102" t="n">
        <v>3</v>
      </c>
      <c r="I57" s="102" t="n">
        <v>10</v>
      </c>
      <c r="J57" s="102" t="n">
        <v>5</v>
      </c>
      <c r="K57" s="186" t="n">
        <v>33</v>
      </c>
      <c r="L57" s="186" t="str">
        <f aca="false">IF(K57&gt;=65,"High",IF(K57&gt;=35,"Medium","Low"))</f>
        <v>Low</v>
      </c>
      <c r="M57" s="177" t="s">
        <v>152</v>
      </c>
    </row>
    <row r="58" customFormat="false" ht="15" hidden="false" customHeight="false" outlineLevel="0" collapsed="false">
      <c r="A58" s="106" t="s">
        <v>323</v>
      </c>
      <c r="B58" s="179" t="s">
        <v>324</v>
      </c>
      <c r="C58" s="106" t="s">
        <v>11</v>
      </c>
      <c r="D58" s="179" t="s">
        <v>15</v>
      </c>
      <c r="E58" s="179" t="s">
        <v>325</v>
      </c>
      <c r="F58" s="179" t="s">
        <v>292</v>
      </c>
      <c r="G58" s="106" t="n">
        <v>2843</v>
      </c>
      <c r="H58" s="106" t="n">
        <v>3</v>
      </c>
      <c r="I58" s="106" t="n">
        <v>5</v>
      </c>
      <c r="J58" s="106" t="n">
        <v>15</v>
      </c>
      <c r="K58" s="188" t="n">
        <v>31</v>
      </c>
      <c r="L58" s="188" t="str">
        <f aca="false">IF(K58&gt;=65,"High",IF(K58&gt;=35,"Medium","Low"))</f>
        <v>Low</v>
      </c>
      <c r="M58" s="179" t="s">
        <v>1939</v>
      </c>
    </row>
    <row r="59" customFormat="false" ht="15" hidden="false" customHeight="false" outlineLevel="0" collapsed="false">
      <c r="A59" s="102" t="s">
        <v>379</v>
      </c>
      <c r="B59" s="177" t="s">
        <v>380</v>
      </c>
      <c r="C59" s="102" t="s">
        <v>11</v>
      </c>
      <c r="D59" s="177" t="s">
        <v>25</v>
      </c>
      <c r="E59" s="177" t="s">
        <v>378</v>
      </c>
      <c r="F59" s="177" t="s">
        <v>320</v>
      </c>
      <c r="G59" s="102" t="n">
        <v>2264</v>
      </c>
      <c r="H59" s="102" t="n">
        <v>3</v>
      </c>
      <c r="I59" s="102" t="n">
        <v>20</v>
      </c>
      <c r="J59" s="102" t="n">
        <v>0</v>
      </c>
      <c r="K59" s="186" t="n">
        <v>31</v>
      </c>
      <c r="L59" s="186" t="str">
        <f aca="false">IF(K59&gt;=65,"High",IF(K59&gt;=35,"Medium","Low"))</f>
        <v>Low</v>
      </c>
      <c r="M59" s="177" t="s">
        <v>1938</v>
      </c>
    </row>
    <row r="60" customFormat="false" ht="15" hidden="false" customHeight="false" outlineLevel="0" collapsed="false">
      <c r="A60" s="106" t="s">
        <v>411</v>
      </c>
      <c r="B60" s="179" t="s">
        <v>412</v>
      </c>
      <c r="C60" s="106" t="s">
        <v>11</v>
      </c>
      <c r="D60" s="179" t="s">
        <v>20</v>
      </c>
      <c r="E60" s="179" t="s">
        <v>413</v>
      </c>
      <c r="F60" s="179" t="s">
        <v>343</v>
      </c>
      <c r="G60" s="106" t="n">
        <v>1561</v>
      </c>
      <c r="H60" s="106" t="n">
        <v>18</v>
      </c>
      <c r="I60" s="106" t="n">
        <v>0</v>
      </c>
      <c r="J60" s="106" t="n">
        <v>5</v>
      </c>
      <c r="K60" s="188" t="n">
        <v>31</v>
      </c>
      <c r="L60" s="188" t="str">
        <f aca="false">IF(K60&gt;=65,"High",IF(K60&gt;=35,"Medium","Low"))</f>
        <v>Low</v>
      </c>
      <c r="M60" s="179" t="s">
        <v>1940</v>
      </c>
    </row>
    <row r="61" customFormat="false" ht="15" hidden="false" customHeight="false" outlineLevel="0" collapsed="false">
      <c r="A61" s="102" t="s">
        <v>488</v>
      </c>
      <c r="B61" s="177" t="s">
        <v>489</v>
      </c>
      <c r="C61" s="102" t="s">
        <v>12</v>
      </c>
      <c r="D61" s="177" t="s">
        <v>22</v>
      </c>
      <c r="E61" s="177" t="s">
        <v>309</v>
      </c>
      <c r="F61" s="177" t="s">
        <v>294</v>
      </c>
      <c r="G61" s="102" t="n">
        <v>2771</v>
      </c>
      <c r="H61" s="102" t="n">
        <v>3</v>
      </c>
      <c r="I61" s="102" t="n">
        <v>5</v>
      </c>
      <c r="J61" s="102" t="n">
        <v>15</v>
      </c>
      <c r="K61" s="186" t="n">
        <v>31</v>
      </c>
      <c r="L61" s="186" t="str">
        <f aca="false">IF(K61&gt;=65,"High",IF(K61&gt;=35,"Medium","Low"))</f>
        <v>Low</v>
      </c>
      <c r="M61" s="177" t="s">
        <v>1939</v>
      </c>
    </row>
    <row r="62" customFormat="false" ht="15" hidden="false" customHeight="false" outlineLevel="0" collapsed="false">
      <c r="A62" s="106" t="s">
        <v>490</v>
      </c>
      <c r="B62" s="179" t="s">
        <v>491</v>
      </c>
      <c r="C62" s="106" t="s">
        <v>12</v>
      </c>
      <c r="D62" s="179" t="s">
        <v>23</v>
      </c>
      <c r="E62" s="179" t="s">
        <v>313</v>
      </c>
      <c r="F62" s="179" t="s">
        <v>294</v>
      </c>
      <c r="G62" s="106" t="n">
        <v>2440</v>
      </c>
      <c r="H62" s="106" t="n">
        <v>3</v>
      </c>
      <c r="I62" s="106" t="n">
        <v>5</v>
      </c>
      <c r="J62" s="106" t="n">
        <v>15</v>
      </c>
      <c r="K62" s="188" t="n">
        <v>31</v>
      </c>
      <c r="L62" s="188" t="str">
        <f aca="false">IF(K62&gt;=65,"High",IF(K62&gt;=35,"Medium","Low"))</f>
        <v>Low</v>
      </c>
      <c r="M62" s="179" t="s">
        <v>1939</v>
      </c>
    </row>
    <row r="63" customFormat="false" ht="15" hidden="false" customHeight="false" outlineLevel="0" collapsed="false">
      <c r="A63" s="102" t="s">
        <v>503</v>
      </c>
      <c r="B63" s="177" t="s">
        <v>504</v>
      </c>
      <c r="C63" s="102" t="s">
        <v>12</v>
      </c>
      <c r="D63" s="177" t="s">
        <v>21</v>
      </c>
      <c r="E63" s="177" t="s">
        <v>349</v>
      </c>
      <c r="F63" s="177" t="s">
        <v>486</v>
      </c>
      <c r="G63" s="102" t="n">
        <v>1695</v>
      </c>
      <c r="H63" s="102" t="n">
        <v>3</v>
      </c>
      <c r="I63" s="102" t="n">
        <v>10</v>
      </c>
      <c r="J63" s="102" t="n">
        <v>10</v>
      </c>
      <c r="K63" s="186" t="n">
        <v>31</v>
      </c>
      <c r="L63" s="186" t="str">
        <f aca="false">IF(K63&gt;=65,"High",IF(K63&gt;=35,"Medium","Low"))</f>
        <v>Low</v>
      </c>
      <c r="M63" s="177" t="s">
        <v>1938</v>
      </c>
    </row>
    <row r="64" customFormat="false" ht="15" hidden="false" customHeight="false" outlineLevel="0" collapsed="false">
      <c r="A64" s="106" t="s">
        <v>414</v>
      </c>
      <c r="B64" s="179" t="s">
        <v>415</v>
      </c>
      <c r="C64" s="106" t="s">
        <v>11</v>
      </c>
      <c r="D64" s="179" t="s">
        <v>20</v>
      </c>
      <c r="E64" s="179" t="s">
        <v>413</v>
      </c>
      <c r="F64" s="179" t="s">
        <v>339</v>
      </c>
      <c r="G64" s="106" t="n">
        <v>606</v>
      </c>
      <c r="H64" s="106" t="n">
        <v>3</v>
      </c>
      <c r="I64" s="106" t="n">
        <v>5</v>
      </c>
      <c r="J64" s="106" t="n">
        <v>5</v>
      </c>
      <c r="K64" s="188" t="n">
        <v>28</v>
      </c>
      <c r="L64" s="188" t="str">
        <f aca="false">IF(K64&gt;=65,"High",IF(K64&gt;=35,"Medium","Low"))</f>
        <v>Low</v>
      </c>
      <c r="M64" s="179" t="s">
        <v>152</v>
      </c>
    </row>
    <row r="65" customFormat="false" ht="15" hidden="false" customHeight="false" outlineLevel="0" collapsed="false">
      <c r="A65" s="102" t="s">
        <v>456</v>
      </c>
      <c r="B65" s="177" t="s">
        <v>69</v>
      </c>
      <c r="C65" s="102" t="s">
        <v>11</v>
      </c>
      <c r="D65" s="177" t="s">
        <v>24</v>
      </c>
      <c r="E65" s="177" t="s">
        <v>451</v>
      </c>
      <c r="F65" s="177" t="s">
        <v>297</v>
      </c>
      <c r="G65" s="102" t="n">
        <v>1057</v>
      </c>
      <c r="H65" s="102" t="n">
        <v>3</v>
      </c>
      <c r="I65" s="102" t="n">
        <v>5</v>
      </c>
      <c r="J65" s="102" t="n">
        <v>5</v>
      </c>
      <c r="K65" s="186" t="n">
        <v>28</v>
      </c>
      <c r="L65" s="186" t="str">
        <f aca="false">IF(K65&gt;=65,"High",IF(K65&gt;=35,"Medium","Low"))</f>
        <v>Low</v>
      </c>
      <c r="M65" s="177" t="s">
        <v>152</v>
      </c>
    </row>
    <row r="66" customFormat="false" ht="15" hidden="false" customHeight="false" outlineLevel="0" collapsed="false">
      <c r="A66" s="106" t="s">
        <v>512</v>
      </c>
      <c r="B66" s="179" t="s">
        <v>513</v>
      </c>
      <c r="C66" s="106" t="s">
        <v>12</v>
      </c>
      <c r="D66" s="179" t="s">
        <v>16</v>
      </c>
      <c r="E66" s="179" t="s">
        <v>398</v>
      </c>
      <c r="F66" s="179" t="s">
        <v>495</v>
      </c>
      <c r="G66" s="106" t="n">
        <v>699</v>
      </c>
      <c r="H66" s="106" t="n">
        <v>3</v>
      </c>
      <c r="I66" s="106" t="n">
        <v>5</v>
      </c>
      <c r="J66" s="106" t="n">
        <v>5</v>
      </c>
      <c r="K66" s="188" t="n">
        <v>28</v>
      </c>
      <c r="L66" s="188" t="str">
        <f aca="false">IF(K66&gt;=65,"High",IF(K66&gt;=35,"Medium","Low"))</f>
        <v>Low</v>
      </c>
      <c r="M66" s="179" t="s">
        <v>152</v>
      </c>
    </row>
    <row r="67" customFormat="false" ht="15" hidden="false" customHeight="false" outlineLevel="0" collapsed="false">
      <c r="A67" s="102" t="s">
        <v>535</v>
      </c>
      <c r="B67" s="177" t="s">
        <v>536</v>
      </c>
      <c r="C67" s="102" t="s">
        <v>12</v>
      </c>
      <c r="D67" s="177" t="s">
        <v>22</v>
      </c>
      <c r="E67" s="177" t="s">
        <v>430</v>
      </c>
      <c r="F67" s="177" t="s">
        <v>126</v>
      </c>
      <c r="G67" s="102" t="n">
        <v>1042</v>
      </c>
      <c r="H67" s="102" t="n">
        <v>3</v>
      </c>
      <c r="I67" s="102" t="n">
        <v>0</v>
      </c>
      <c r="J67" s="102" t="n">
        <v>10</v>
      </c>
      <c r="K67" s="186" t="n">
        <v>28</v>
      </c>
      <c r="L67" s="186" t="str">
        <f aca="false">IF(K67&gt;=65,"High",IF(K67&gt;=35,"Medium","Low"))</f>
        <v>Low</v>
      </c>
      <c r="M67" s="177" t="s">
        <v>152</v>
      </c>
    </row>
    <row r="68" customFormat="false" ht="15" hidden="false" customHeight="false" outlineLevel="0" collapsed="false">
      <c r="A68" s="106" t="s">
        <v>307</v>
      </c>
      <c r="B68" s="179" t="s">
        <v>308</v>
      </c>
      <c r="C68" s="106" t="s">
        <v>11</v>
      </c>
      <c r="D68" s="179" t="s">
        <v>22</v>
      </c>
      <c r="E68" s="179" t="s">
        <v>309</v>
      </c>
      <c r="F68" s="179" t="s">
        <v>294</v>
      </c>
      <c r="G68" s="106" t="n">
        <v>4094</v>
      </c>
      <c r="H68" s="106" t="n">
        <v>3</v>
      </c>
      <c r="I68" s="106" t="n">
        <v>0</v>
      </c>
      <c r="J68" s="106" t="n">
        <v>15</v>
      </c>
      <c r="K68" s="188" t="n">
        <v>26</v>
      </c>
      <c r="L68" s="188" t="str">
        <f aca="false">IF(K68&gt;=65,"High",IF(K68&gt;=35,"Medium","Low"))</f>
        <v>Low</v>
      </c>
      <c r="M68" s="179" t="s">
        <v>1939</v>
      </c>
    </row>
    <row r="69" customFormat="false" ht="15" hidden="false" customHeight="false" outlineLevel="0" collapsed="false">
      <c r="A69" s="102" t="s">
        <v>319</v>
      </c>
      <c r="B69" s="177" t="s">
        <v>320</v>
      </c>
      <c r="C69" s="102" t="s">
        <v>11</v>
      </c>
      <c r="D69" s="177" t="s">
        <v>25</v>
      </c>
      <c r="E69" s="177" t="s">
        <v>321</v>
      </c>
      <c r="F69" s="177" t="s">
        <v>294</v>
      </c>
      <c r="G69" s="102" t="n">
        <v>3452</v>
      </c>
      <c r="H69" s="102" t="n">
        <v>3</v>
      </c>
      <c r="I69" s="102" t="n">
        <v>5</v>
      </c>
      <c r="J69" s="102" t="n">
        <v>10</v>
      </c>
      <c r="K69" s="186" t="n">
        <v>26</v>
      </c>
      <c r="L69" s="186" t="str">
        <f aca="false">IF(K69&gt;=65,"High",IF(K69&gt;=35,"Medium","Low"))</f>
        <v>Low</v>
      </c>
      <c r="M69" s="177" t="s">
        <v>1939</v>
      </c>
    </row>
    <row r="70" customFormat="false" ht="15" hidden="false" customHeight="false" outlineLevel="0" collapsed="false">
      <c r="A70" s="106" t="s">
        <v>327</v>
      </c>
      <c r="B70" s="179" t="s">
        <v>328</v>
      </c>
      <c r="C70" s="106" t="s">
        <v>11</v>
      </c>
      <c r="D70" s="179" t="s">
        <v>15</v>
      </c>
      <c r="E70" s="179" t="s">
        <v>325</v>
      </c>
      <c r="F70" s="179" t="s">
        <v>292</v>
      </c>
      <c r="G70" s="106" t="n">
        <v>2317</v>
      </c>
      <c r="H70" s="106" t="n">
        <v>3</v>
      </c>
      <c r="I70" s="106" t="n">
        <v>5</v>
      </c>
      <c r="J70" s="106" t="n">
        <v>10</v>
      </c>
      <c r="K70" s="188" t="n">
        <v>26</v>
      </c>
      <c r="L70" s="188" t="str">
        <f aca="false">IF(K70&gt;=65,"High",IF(K70&gt;=35,"Medium","Low"))</f>
        <v>Low</v>
      </c>
      <c r="M70" s="179" t="s">
        <v>1939</v>
      </c>
    </row>
    <row r="71" customFormat="false" ht="15" hidden="false" customHeight="false" outlineLevel="0" collapsed="false">
      <c r="A71" s="102" t="s">
        <v>338</v>
      </c>
      <c r="B71" s="177" t="s">
        <v>339</v>
      </c>
      <c r="C71" s="102" t="s">
        <v>11</v>
      </c>
      <c r="D71" s="177" t="s">
        <v>20</v>
      </c>
      <c r="E71" s="177" t="s">
        <v>340</v>
      </c>
      <c r="F71" s="177" t="s">
        <v>109</v>
      </c>
      <c r="G71" s="102" t="n">
        <v>2959</v>
      </c>
      <c r="H71" s="102" t="n">
        <v>3</v>
      </c>
      <c r="I71" s="102" t="n">
        <v>5</v>
      </c>
      <c r="J71" s="102" t="n">
        <v>10</v>
      </c>
      <c r="K71" s="186" t="n">
        <v>26</v>
      </c>
      <c r="L71" s="186" t="str">
        <f aca="false">IF(K71&gt;=65,"High",IF(K71&gt;=35,"Medium","Low"))</f>
        <v>Low</v>
      </c>
      <c r="M71" s="177" t="s">
        <v>1939</v>
      </c>
    </row>
    <row r="72" customFormat="false" ht="15" hidden="false" customHeight="false" outlineLevel="0" collapsed="false">
      <c r="A72" s="106" t="s">
        <v>351</v>
      </c>
      <c r="B72" s="179" t="s">
        <v>352</v>
      </c>
      <c r="C72" s="106" t="s">
        <v>11</v>
      </c>
      <c r="D72" s="179" t="s">
        <v>21</v>
      </c>
      <c r="E72" s="179" t="s">
        <v>349</v>
      </c>
      <c r="F72" s="179" t="s">
        <v>304</v>
      </c>
      <c r="G72" s="106" t="n">
        <v>1805</v>
      </c>
      <c r="H72" s="106" t="n">
        <v>3</v>
      </c>
      <c r="I72" s="106" t="n">
        <v>10</v>
      </c>
      <c r="J72" s="106" t="n">
        <v>5</v>
      </c>
      <c r="K72" s="188" t="n">
        <v>26</v>
      </c>
      <c r="L72" s="188" t="str">
        <f aca="false">IF(K72&gt;=65,"High",IF(K72&gt;=35,"Medium","Low"))</f>
        <v>Low</v>
      </c>
      <c r="M72" s="179" t="s">
        <v>1938</v>
      </c>
    </row>
    <row r="73" customFormat="false" ht="15" hidden="false" customHeight="false" outlineLevel="0" collapsed="false">
      <c r="A73" s="102" t="s">
        <v>353</v>
      </c>
      <c r="B73" s="177" t="s">
        <v>164</v>
      </c>
      <c r="C73" s="102" t="s">
        <v>11</v>
      </c>
      <c r="D73" s="177" t="s">
        <v>21</v>
      </c>
      <c r="E73" s="177" t="s">
        <v>349</v>
      </c>
      <c r="F73" s="177" t="s">
        <v>304</v>
      </c>
      <c r="G73" s="102" t="n">
        <v>2718</v>
      </c>
      <c r="H73" s="102" t="n">
        <v>3</v>
      </c>
      <c r="I73" s="102" t="n">
        <v>10</v>
      </c>
      <c r="J73" s="102" t="n">
        <v>5</v>
      </c>
      <c r="K73" s="186" t="n">
        <v>26</v>
      </c>
      <c r="L73" s="186" t="str">
        <f aca="false">IF(K73&gt;=65,"High",IF(K73&gt;=35,"Medium","Low"))</f>
        <v>Low</v>
      </c>
      <c r="M73" s="177" t="s">
        <v>1938</v>
      </c>
    </row>
    <row r="74" customFormat="false" ht="15" hidden="false" customHeight="false" outlineLevel="0" collapsed="false">
      <c r="A74" s="106" t="s">
        <v>358</v>
      </c>
      <c r="B74" s="179" t="s">
        <v>79</v>
      </c>
      <c r="C74" s="106" t="s">
        <v>11</v>
      </c>
      <c r="D74" s="179" t="s">
        <v>22</v>
      </c>
      <c r="E74" s="179" t="s">
        <v>357</v>
      </c>
      <c r="F74" s="179" t="s">
        <v>308</v>
      </c>
      <c r="G74" s="106" t="n">
        <v>1369</v>
      </c>
      <c r="H74" s="106" t="n">
        <v>3</v>
      </c>
      <c r="I74" s="106" t="n">
        <v>5</v>
      </c>
      <c r="J74" s="106" t="n">
        <v>10</v>
      </c>
      <c r="K74" s="188" t="n">
        <v>26</v>
      </c>
      <c r="L74" s="188" t="str">
        <f aca="false">IF(K74&gt;=65,"High",IF(K74&gt;=35,"Medium","Low"))</f>
        <v>Low</v>
      </c>
      <c r="M74" s="179" t="s">
        <v>1939</v>
      </c>
    </row>
    <row r="75" customFormat="false" ht="15" hidden="false" customHeight="false" outlineLevel="0" collapsed="false">
      <c r="A75" s="102" t="s">
        <v>369</v>
      </c>
      <c r="B75" s="177" t="s">
        <v>370</v>
      </c>
      <c r="C75" s="102" t="s">
        <v>11</v>
      </c>
      <c r="D75" s="177" t="s">
        <v>24</v>
      </c>
      <c r="E75" s="177" t="s">
        <v>371</v>
      </c>
      <c r="F75" s="177" t="s">
        <v>316</v>
      </c>
      <c r="G75" s="102" t="n">
        <v>1523</v>
      </c>
      <c r="H75" s="102" t="n">
        <v>3</v>
      </c>
      <c r="I75" s="102" t="n">
        <v>0</v>
      </c>
      <c r="J75" s="102" t="n">
        <v>15</v>
      </c>
      <c r="K75" s="186" t="n">
        <v>26</v>
      </c>
      <c r="L75" s="186" t="str">
        <f aca="false">IF(K75&gt;=65,"High",IF(K75&gt;=35,"Medium","Low"))</f>
        <v>Low</v>
      </c>
      <c r="M75" s="177" t="s">
        <v>1939</v>
      </c>
    </row>
    <row r="76" customFormat="false" ht="15" hidden="false" customHeight="false" outlineLevel="0" collapsed="false">
      <c r="A76" s="106" t="s">
        <v>388</v>
      </c>
      <c r="B76" s="179" t="s">
        <v>389</v>
      </c>
      <c r="C76" s="106" t="s">
        <v>11</v>
      </c>
      <c r="D76" s="179" t="s">
        <v>15</v>
      </c>
      <c r="E76" s="179" t="s">
        <v>384</v>
      </c>
      <c r="F76" s="179" t="s">
        <v>328</v>
      </c>
      <c r="G76" s="106" t="n">
        <v>1585</v>
      </c>
      <c r="H76" s="106" t="n">
        <v>3</v>
      </c>
      <c r="I76" s="106" t="n">
        <v>5</v>
      </c>
      <c r="J76" s="106" t="n">
        <v>10</v>
      </c>
      <c r="K76" s="188" t="n">
        <v>26</v>
      </c>
      <c r="L76" s="188" t="str">
        <f aca="false">IF(K76&gt;=65,"High",IF(K76&gt;=35,"Medium","Low"))</f>
        <v>Low</v>
      </c>
      <c r="M76" s="179" t="s">
        <v>1939</v>
      </c>
    </row>
    <row r="77" customFormat="false" ht="15" hidden="false" customHeight="false" outlineLevel="0" collapsed="false">
      <c r="A77" s="102" t="s">
        <v>501</v>
      </c>
      <c r="B77" s="177" t="s">
        <v>502</v>
      </c>
      <c r="C77" s="102" t="s">
        <v>12</v>
      </c>
      <c r="D77" s="177" t="s">
        <v>21</v>
      </c>
      <c r="E77" s="177" t="s">
        <v>349</v>
      </c>
      <c r="F77" s="177" t="s">
        <v>486</v>
      </c>
      <c r="G77" s="102" t="n">
        <v>2157</v>
      </c>
      <c r="H77" s="102" t="n">
        <v>3</v>
      </c>
      <c r="I77" s="102" t="n">
        <v>5</v>
      </c>
      <c r="J77" s="102" t="n">
        <v>10</v>
      </c>
      <c r="K77" s="186" t="n">
        <v>26</v>
      </c>
      <c r="L77" s="186" t="str">
        <f aca="false">IF(K77&gt;=65,"High",IF(K77&gt;=35,"Medium","Low"))</f>
        <v>Low</v>
      </c>
      <c r="M77" s="177" t="s">
        <v>1939</v>
      </c>
    </row>
    <row r="78" customFormat="false" ht="15" hidden="false" customHeight="false" outlineLevel="0" collapsed="false">
      <c r="A78" s="106" t="s">
        <v>428</v>
      </c>
      <c r="B78" s="179" t="s">
        <v>132</v>
      </c>
      <c r="C78" s="106" t="s">
        <v>11</v>
      </c>
      <c r="D78" s="179" t="s">
        <v>21</v>
      </c>
      <c r="E78" s="179" t="s">
        <v>427</v>
      </c>
      <c r="F78" s="179" t="s">
        <v>352</v>
      </c>
      <c r="G78" s="106" t="n">
        <v>655</v>
      </c>
      <c r="H78" s="106" t="n">
        <v>3</v>
      </c>
      <c r="I78" s="106" t="n">
        <v>0</v>
      </c>
      <c r="J78" s="106" t="n">
        <v>5</v>
      </c>
      <c r="K78" s="188" t="n">
        <v>23</v>
      </c>
      <c r="L78" s="188" t="str">
        <f aca="false">IF(K78&gt;=65,"High",IF(K78&gt;=35,"Medium","Low"))</f>
        <v>Low</v>
      </c>
      <c r="M78" s="179" t="s">
        <v>152</v>
      </c>
    </row>
    <row r="79" customFormat="false" ht="15" hidden="false" customHeight="false" outlineLevel="0" collapsed="false">
      <c r="A79" s="102" t="s">
        <v>438</v>
      </c>
      <c r="B79" s="177" t="s">
        <v>439</v>
      </c>
      <c r="C79" s="102" t="s">
        <v>11</v>
      </c>
      <c r="D79" s="177" t="s">
        <v>22</v>
      </c>
      <c r="E79" s="177" t="s">
        <v>430</v>
      </c>
      <c r="F79" s="177" t="s">
        <v>356</v>
      </c>
      <c r="G79" s="102" t="n">
        <v>1077</v>
      </c>
      <c r="H79" s="102" t="n">
        <v>3</v>
      </c>
      <c r="I79" s="102" t="n">
        <v>5</v>
      </c>
      <c r="J79" s="102" t="n">
        <v>0</v>
      </c>
      <c r="K79" s="186" t="n">
        <v>23</v>
      </c>
      <c r="L79" s="186" t="str">
        <f aca="false">IF(K79&gt;=65,"High",IF(K79&gt;=35,"Medium","Low"))</f>
        <v>Low</v>
      </c>
      <c r="M79" s="177" t="s">
        <v>152</v>
      </c>
    </row>
    <row r="80" customFormat="false" ht="15" hidden="false" customHeight="false" outlineLevel="0" collapsed="false">
      <c r="A80" s="106" t="s">
        <v>469</v>
      </c>
      <c r="B80" s="179" t="s">
        <v>470</v>
      </c>
      <c r="C80" s="106" t="s">
        <v>11</v>
      </c>
      <c r="D80" s="179" t="s">
        <v>25</v>
      </c>
      <c r="E80" s="179" t="s">
        <v>466</v>
      </c>
      <c r="F80" s="179" t="s">
        <v>377</v>
      </c>
      <c r="G80" s="106" t="n">
        <v>711</v>
      </c>
      <c r="H80" s="106" t="n">
        <v>3</v>
      </c>
      <c r="I80" s="106" t="n">
        <v>5</v>
      </c>
      <c r="J80" s="106" t="n">
        <v>0</v>
      </c>
      <c r="K80" s="188" t="n">
        <v>23</v>
      </c>
      <c r="L80" s="188" t="str">
        <f aca="false">IF(K80&gt;=65,"High",IF(K80&gt;=35,"Medium","Low"))</f>
        <v>Low</v>
      </c>
      <c r="M80" s="179" t="s">
        <v>152</v>
      </c>
    </row>
    <row r="81" customFormat="false" ht="15" hidden="false" customHeight="false" outlineLevel="0" collapsed="false">
      <c r="A81" s="102" t="s">
        <v>472</v>
      </c>
      <c r="B81" s="177" t="s">
        <v>473</v>
      </c>
      <c r="C81" s="102" t="s">
        <v>11</v>
      </c>
      <c r="D81" s="177" t="s">
        <v>25</v>
      </c>
      <c r="E81" s="177" t="s">
        <v>466</v>
      </c>
      <c r="F81" s="177" t="s">
        <v>380</v>
      </c>
      <c r="G81" s="102" t="n">
        <v>545</v>
      </c>
      <c r="H81" s="102" t="n">
        <v>3</v>
      </c>
      <c r="I81" s="102" t="n">
        <v>5</v>
      </c>
      <c r="J81" s="102" t="n">
        <v>0</v>
      </c>
      <c r="K81" s="186" t="n">
        <v>23</v>
      </c>
      <c r="L81" s="186" t="str">
        <f aca="false">IF(K81&gt;=65,"High",IF(K81&gt;=35,"Medium","Low"))</f>
        <v>Low</v>
      </c>
      <c r="M81" s="177" t="s">
        <v>152</v>
      </c>
    </row>
    <row r="82" customFormat="false" ht="15" hidden="false" customHeight="false" outlineLevel="0" collapsed="false">
      <c r="A82" s="106" t="s">
        <v>494</v>
      </c>
      <c r="B82" s="179" t="s">
        <v>495</v>
      </c>
      <c r="C82" s="106" t="s">
        <v>12</v>
      </c>
      <c r="D82" s="179" t="s">
        <v>16</v>
      </c>
      <c r="E82" s="179" t="s">
        <v>334</v>
      </c>
      <c r="F82" s="179" t="s">
        <v>122</v>
      </c>
      <c r="G82" s="106" t="n">
        <v>950</v>
      </c>
      <c r="H82" s="106" t="n">
        <v>3</v>
      </c>
      <c r="I82" s="106" t="n">
        <v>0</v>
      </c>
      <c r="J82" s="106" t="n">
        <v>5</v>
      </c>
      <c r="K82" s="188" t="n">
        <v>23</v>
      </c>
      <c r="L82" s="188" t="str">
        <f aca="false">IF(K82&gt;=65,"High",IF(K82&gt;=35,"Medium","Low"))</f>
        <v>Low</v>
      </c>
      <c r="M82" s="179" t="s">
        <v>152</v>
      </c>
    </row>
    <row r="83" customFormat="false" ht="15" hidden="false" customHeight="false" outlineLevel="0" collapsed="false">
      <c r="A83" s="102" t="s">
        <v>539</v>
      </c>
      <c r="B83" s="177" t="s">
        <v>540</v>
      </c>
      <c r="C83" s="102" t="s">
        <v>12</v>
      </c>
      <c r="D83" s="177" t="s">
        <v>23</v>
      </c>
      <c r="E83" s="177" t="s">
        <v>441</v>
      </c>
      <c r="F83" s="177" t="s">
        <v>504</v>
      </c>
      <c r="G83" s="102" t="n">
        <v>593</v>
      </c>
      <c r="H83" s="102" t="n">
        <v>3</v>
      </c>
      <c r="I83" s="102" t="n">
        <v>5</v>
      </c>
      <c r="J83" s="102" t="n">
        <v>0</v>
      </c>
      <c r="K83" s="186" t="n">
        <v>23</v>
      </c>
      <c r="L83" s="186" t="str">
        <f aca="false">IF(K83&gt;=65,"High",IF(K83&gt;=35,"Medium","Low"))</f>
        <v>Low</v>
      </c>
      <c r="M83" s="177" t="s">
        <v>152</v>
      </c>
    </row>
    <row r="84" customFormat="false" ht="15" hidden="false" customHeight="false" outlineLevel="0" collapsed="false">
      <c r="A84" s="106" t="s">
        <v>300</v>
      </c>
      <c r="B84" s="179" t="s">
        <v>109</v>
      </c>
      <c r="C84" s="106" t="s">
        <v>11</v>
      </c>
      <c r="D84" s="179" t="s">
        <v>20</v>
      </c>
      <c r="E84" s="179" t="s">
        <v>301</v>
      </c>
      <c r="F84" s="179" t="s">
        <v>294</v>
      </c>
      <c r="G84" s="106" t="n">
        <v>3284</v>
      </c>
      <c r="H84" s="106" t="n">
        <v>3</v>
      </c>
      <c r="I84" s="106" t="n">
        <v>5</v>
      </c>
      <c r="J84" s="106" t="n">
        <v>5</v>
      </c>
      <c r="K84" s="188" t="n">
        <v>21</v>
      </c>
      <c r="L84" s="188" t="str">
        <f aca="false">IF(K84&gt;=65,"High",IF(K84&gt;=35,"Medium","Low"))</f>
        <v>Low</v>
      </c>
      <c r="M84" s="179" t="s">
        <v>152</v>
      </c>
    </row>
    <row r="85" customFormat="false" ht="15" hidden="false" customHeight="false" outlineLevel="0" collapsed="false">
      <c r="A85" s="102" t="s">
        <v>332</v>
      </c>
      <c r="B85" s="177" t="s">
        <v>333</v>
      </c>
      <c r="C85" s="102" t="s">
        <v>11</v>
      </c>
      <c r="D85" s="177" t="s">
        <v>16</v>
      </c>
      <c r="E85" s="177" t="s">
        <v>334</v>
      </c>
      <c r="F85" s="177" t="s">
        <v>297</v>
      </c>
      <c r="G85" s="102" t="n">
        <v>2277</v>
      </c>
      <c r="H85" s="102" t="n">
        <v>3</v>
      </c>
      <c r="I85" s="102" t="n">
        <v>5</v>
      </c>
      <c r="J85" s="102" t="n">
        <v>5</v>
      </c>
      <c r="K85" s="186" t="n">
        <v>21</v>
      </c>
      <c r="L85" s="186" t="str">
        <f aca="false">IF(K85&gt;=65,"High",IF(K85&gt;=35,"Medium","Low"))</f>
        <v>Low</v>
      </c>
      <c r="M85" s="177" t="s">
        <v>152</v>
      </c>
    </row>
    <row r="86" customFormat="false" ht="15" hidden="false" customHeight="false" outlineLevel="0" collapsed="false">
      <c r="A86" s="106" t="s">
        <v>375</v>
      </c>
      <c r="B86" s="179" t="s">
        <v>297</v>
      </c>
      <c r="C86" s="106" t="s">
        <v>11</v>
      </c>
      <c r="D86" s="179" t="s">
        <v>24</v>
      </c>
      <c r="E86" s="179" t="s">
        <v>371</v>
      </c>
      <c r="F86" s="179" t="s">
        <v>316</v>
      </c>
      <c r="G86" s="106" t="n">
        <v>2866</v>
      </c>
      <c r="H86" s="106" t="n">
        <v>3</v>
      </c>
      <c r="I86" s="106" t="n">
        <v>5</v>
      </c>
      <c r="J86" s="106" t="n">
        <v>5</v>
      </c>
      <c r="K86" s="188" t="n">
        <v>21</v>
      </c>
      <c r="L86" s="188" t="str">
        <f aca="false">IF(K86&gt;=65,"High",IF(K86&gt;=35,"Medium","Low"))</f>
        <v>Low</v>
      </c>
      <c r="M86" s="179" t="s">
        <v>152</v>
      </c>
    </row>
    <row r="87" customFormat="false" ht="15" hidden="false" customHeight="false" outlineLevel="0" collapsed="false">
      <c r="A87" s="102" t="s">
        <v>376</v>
      </c>
      <c r="B87" s="177" t="s">
        <v>377</v>
      </c>
      <c r="C87" s="102" t="s">
        <v>11</v>
      </c>
      <c r="D87" s="177" t="s">
        <v>25</v>
      </c>
      <c r="E87" s="177" t="s">
        <v>378</v>
      </c>
      <c r="F87" s="177" t="s">
        <v>320</v>
      </c>
      <c r="G87" s="102" t="n">
        <v>1430</v>
      </c>
      <c r="H87" s="102" t="n">
        <v>3</v>
      </c>
      <c r="I87" s="102" t="n">
        <v>0</v>
      </c>
      <c r="J87" s="102" t="n">
        <v>10</v>
      </c>
      <c r="K87" s="186" t="n">
        <v>21</v>
      </c>
      <c r="L87" s="186" t="str">
        <f aca="false">IF(K87&gt;=65,"High",IF(K87&gt;=35,"Medium","Low"))</f>
        <v>Low</v>
      </c>
      <c r="M87" s="177" t="s">
        <v>1939</v>
      </c>
    </row>
    <row r="88" customFormat="false" ht="15" hidden="false" customHeight="false" outlineLevel="0" collapsed="false">
      <c r="A88" s="106" t="s">
        <v>404</v>
      </c>
      <c r="B88" s="179" t="s">
        <v>405</v>
      </c>
      <c r="C88" s="106" t="s">
        <v>11</v>
      </c>
      <c r="D88" s="179" t="s">
        <v>16</v>
      </c>
      <c r="E88" s="179" t="s">
        <v>398</v>
      </c>
      <c r="F88" s="179" t="s">
        <v>336</v>
      </c>
      <c r="G88" s="106" t="n">
        <v>1321</v>
      </c>
      <c r="H88" s="106" t="n">
        <v>3</v>
      </c>
      <c r="I88" s="106" t="n">
        <v>5</v>
      </c>
      <c r="J88" s="106" t="n">
        <v>5</v>
      </c>
      <c r="K88" s="188" t="n">
        <v>21</v>
      </c>
      <c r="L88" s="188" t="str">
        <f aca="false">IF(K88&gt;=65,"High",IF(K88&gt;=35,"Medium","Low"))</f>
        <v>Low</v>
      </c>
      <c r="M88" s="179" t="s">
        <v>152</v>
      </c>
    </row>
    <row r="89" customFormat="false" ht="15" hidden="false" customHeight="false" outlineLevel="0" collapsed="false">
      <c r="A89" s="102" t="s">
        <v>446</v>
      </c>
      <c r="B89" s="177" t="s">
        <v>134</v>
      </c>
      <c r="C89" s="102" t="s">
        <v>11</v>
      </c>
      <c r="D89" s="177" t="s">
        <v>23</v>
      </c>
      <c r="E89" s="177" t="s">
        <v>441</v>
      </c>
      <c r="F89" s="177" t="s">
        <v>364</v>
      </c>
      <c r="G89" s="102" t="n">
        <v>1275</v>
      </c>
      <c r="H89" s="102" t="n">
        <v>3</v>
      </c>
      <c r="I89" s="102" t="n">
        <v>5</v>
      </c>
      <c r="J89" s="102" t="n">
        <v>5</v>
      </c>
      <c r="K89" s="186" t="n">
        <v>21</v>
      </c>
      <c r="L89" s="186" t="str">
        <f aca="false">IF(K89&gt;=65,"High",IF(K89&gt;=35,"Medium","Low"))</f>
        <v>Low</v>
      </c>
      <c r="M89" s="177" t="s">
        <v>152</v>
      </c>
    </row>
    <row r="90" customFormat="false" ht="15" hidden="false" customHeight="false" outlineLevel="0" collapsed="false">
      <c r="A90" s="106" t="s">
        <v>452</v>
      </c>
      <c r="B90" s="179" t="s">
        <v>453</v>
      </c>
      <c r="C90" s="106" t="s">
        <v>11</v>
      </c>
      <c r="D90" s="179" t="s">
        <v>24</v>
      </c>
      <c r="E90" s="179" t="s">
        <v>450</v>
      </c>
      <c r="F90" s="179" t="s">
        <v>373</v>
      </c>
      <c r="G90" s="106" t="n">
        <v>1196</v>
      </c>
      <c r="H90" s="106" t="n">
        <v>3</v>
      </c>
      <c r="I90" s="106" t="n">
        <v>5</v>
      </c>
      <c r="J90" s="106" t="n">
        <v>5</v>
      </c>
      <c r="K90" s="188" t="n">
        <v>21</v>
      </c>
      <c r="L90" s="188" t="str">
        <f aca="false">IF(K90&gt;=65,"High",IF(K90&gt;=35,"Medium","Low"))</f>
        <v>Low</v>
      </c>
      <c r="M90" s="179" t="s">
        <v>152</v>
      </c>
    </row>
    <row r="91" customFormat="false" ht="15" hidden="false" customHeight="false" outlineLevel="0" collapsed="false">
      <c r="A91" s="102" t="s">
        <v>485</v>
      </c>
      <c r="B91" s="177" t="s">
        <v>486</v>
      </c>
      <c r="C91" s="102" t="s">
        <v>12</v>
      </c>
      <c r="D91" s="177" t="s">
        <v>21</v>
      </c>
      <c r="E91" s="177" t="s">
        <v>305</v>
      </c>
      <c r="F91" s="177" t="s">
        <v>294</v>
      </c>
      <c r="G91" s="102" t="n">
        <v>1969</v>
      </c>
      <c r="H91" s="102" t="n">
        <v>3</v>
      </c>
      <c r="I91" s="102" t="n">
        <v>5</v>
      </c>
      <c r="J91" s="102" t="n">
        <v>5</v>
      </c>
      <c r="K91" s="186" t="n">
        <v>21</v>
      </c>
      <c r="L91" s="186" t="str">
        <f aca="false">IF(K91&gt;=65,"High",IF(K91&gt;=35,"Medium","Low"))</f>
        <v>Low</v>
      </c>
      <c r="M91" s="177" t="s">
        <v>152</v>
      </c>
    </row>
    <row r="92" customFormat="false" ht="15" hidden="false" customHeight="false" outlineLevel="0" collapsed="false">
      <c r="A92" s="106" t="s">
        <v>492</v>
      </c>
      <c r="B92" s="179" t="s">
        <v>493</v>
      </c>
      <c r="C92" s="106" t="s">
        <v>12</v>
      </c>
      <c r="D92" s="179" t="s">
        <v>15</v>
      </c>
      <c r="E92" s="179" t="s">
        <v>325</v>
      </c>
      <c r="F92" s="179" t="s">
        <v>481</v>
      </c>
      <c r="G92" s="106" t="n">
        <v>2327</v>
      </c>
      <c r="H92" s="106" t="n">
        <v>3</v>
      </c>
      <c r="I92" s="106" t="n">
        <v>10</v>
      </c>
      <c r="J92" s="106" t="n">
        <v>0</v>
      </c>
      <c r="K92" s="188" t="n">
        <v>21</v>
      </c>
      <c r="L92" s="188" t="str">
        <f aca="false">IF(K92&gt;=65,"High",IF(K92&gt;=35,"Medium","Low"))</f>
        <v>Low</v>
      </c>
      <c r="M92" s="179" t="s">
        <v>1938</v>
      </c>
    </row>
    <row r="93" customFormat="false" ht="15" hidden="false" customHeight="false" outlineLevel="0" collapsed="false">
      <c r="A93" s="102" t="s">
        <v>505</v>
      </c>
      <c r="B93" s="177" t="s">
        <v>126</v>
      </c>
      <c r="C93" s="102" t="s">
        <v>12</v>
      </c>
      <c r="D93" s="177" t="s">
        <v>22</v>
      </c>
      <c r="E93" s="177" t="s">
        <v>357</v>
      </c>
      <c r="F93" s="177" t="s">
        <v>489</v>
      </c>
      <c r="G93" s="102" t="n">
        <v>1226</v>
      </c>
      <c r="H93" s="102" t="n">
        <v>3</v>
      </c>
      <c r="I93" s="102" t="n">
        <v>0</v>
      </c>
      <c r="J93" s="102" t="n">
        <v>10</v>
      </c>
      <c r="K93" s="186" t="n">
        <v>21</v>
      </c>
      <c r="L93" s="186" t="str">
        <f aca="false">IF(K93&gt;=65,"High",IF(K93&gt;=35,"Medium","Low"))</f>
        <v>Low</v>
      </c>
      <c r="M93" s="177" t="s">
        <v>1939</v>
      </c>
    </row>
    <row r="94" customFormat="false" ht="15" hidden="false" customHeight="false" outlineLevel="0" collapsed="false">
      <c r="A94" s="106" t="s">
        <v>506</v>
      </c>
      <c r="B94" s="179" t="s">
        <v>504</v>
      </c>
      <c r="C94" s="106" t="s">
        <v>12</v>
      </c>
      <c r="D94" s="179" t="s">
        <v>23</v>
      </c>
      <c r="E94" s="179" t="s">
        <v>365</v>
      </c>
      <c r="F94" s="179" t="s">
        <v>491</v>
      </c>
      <c r="G94" s="106" t="n">
        <v>2033</v>
      </c>
      <c r="H94" s="106" t="n">
        <v>3</v>
      </c>
      <c r="I94" s="106" t="n">
        <v>0</v>
      </c>
      <c r="J94" s="106" t="n">
        <v>10</v>
      </c>
      <c r="K94" s="188" t="n">
        <v>21</v>
      </c>
      <c r="L94" s="188" t="str">
        <f aca="false">IF(K94&gt;=65,"High",IF(K94&gt;=35,"Medium","Low"))</f>
        <v>Low</v>
      </c>
      <c r="M94" s="179" t="s">
        <v>1939</v>
      </c>
    </row>
    <row r="95" customFormat="false" ht="15" hidden="false" customHeight="false" outlineLevel="0" collapsed="false">
      <c r="A95" s="102" t="s">
        <v>507</v>
      </c>
      <c r="B95" s="177" t="s">
        <v>508</v>
      </c>
      <c r="C95" s="102" t="s">
        <v>12</v>
      </c>
      <c r="D95" s="177" t="s">
        <v>23</v>
      </c>
      <c r="E95" s="177" t="s">
        <v>365</v>
      </c>
      <c r="F95" s="177" t="s">
        <v>491</v>
      </c>
      <c r="G95" s="102" t="n">
        <v>2379</v>
      </c>
      <c r="H95" s="102" t="n">
        <v>3</v>
      </c>
      <c r="I95" s="102" t="n">
        <v>10</v>
      </c>
      <c r="J95" s="102" t="n">
        <v>0</v>
      </c>
      <c r="K95" s="186" t="n">
        <v>21</v>
      </c>
      <c r="L95" s="186" t="str">
        <f aca="false">IF(K95&gt;=65,"High",IF(K95&gt;=35,"Medium","Low"))</f>
        <v>Low</v>
      </c>
      <c r="M95" s="177" t="s">
        <v>1938</v>
      </c>
    </row>
    <row r="96" customFormat="false" ht="15" hidden="false" customHeight="false" outlineLevel="0" collapsed="false">
      <c r="A96" s="106" t="s">
        <v>516</v>
      </c>
      <c r="B96" s="179" t="s">
        <v>517</v>
      </c>
      <c r="C96" s="106" t="s">
        <v>12</v>
      </c>
      <c r="D96" s="179" t="s">
        <v>16</v>
      </c>
      <c r="E96" s="179" t="s">
        <v>398</v>
      </c>
      <c r="F96" s="179" t="s">
        <v>495</v>
      </c>
      <c r="G96" s="106" t="n">
        <v>1536</v>
      </c>
      <c r="H96" s="106" t="n">
        <v>3</v>
      </c>
      <c r="I96" s="106" t="n">
        <v>5</v>
      </c>
      <c r="J96" s="106" t="n">
        <v>5</v>
      </c>
      <c r="K96" s="188" t="n">
        <v>21</v>
      </c>
      <c r="L96" s="188" t="str">
        <f aca="false">IF(K96&gt;=65,"High",IF(K96&gt;=35,"Medium","Low"))</f>
        <v>Low</v>
      </c>
      <c r="M96" s="179" t="s">
        <v>152</v>
      </c>
    </row>
    <row r="97" customFormat="false" ht="15" hidden="false" customHeight="false" outlineLevel="0" collapsed="false">
      <c r="A97" s="102" t="s">
        <v>523</v>
      </c>
      <c r="B97" s="177" t="s">
        <v>524</v>
      </c>
      <c r="C97" s="102" t="s">
        <v>12</v>
      </c>
      <c r="D97" s="177" t="s">
        <v>20</v>
      </c>
      <c r="E97" s="177" t="s">
        <v>413</v>
      </c>
      <c r="F97" s="177" t="s">
        <v>498</v>
      </c>
      <c r="G97" s="102" t="n">
        <v>1103</v>
      </c>
      <c r="H97" s="102" t="n">
        <v>3</v>
      </c>
      <c r="I97" s="102" t="n">
        <v>10</v>
      </c>
      <c r="J97" s="102" t="n">
        <v>0</v>
      </c>
      <c r="K97" s="186" t="n">
        <v>21</v>
      </c>
      <c r="L97" s="186" t="str">
        <f aca="false">IF(K97&gt;=65,"High",IF(K97&gt;=35,"Medium","Low"))</f>
        <v>Low</v>
      </c>
      <c r="M97" s="177" t="s">
        <v>1938</v>
      </c>
    </row>
    <row r="98" customFormat="false" ht="15" hidden="false" customHeight="false" outlineLevel="0" collapsed="false">
      <c r="A98" s="106" t="s">
        <v>390</v>
      </c>
      <c r="B98" s="179" t="s">
        <v>391</v>
      </c>
      <c r="C98" s="106" t="s">
        <v>11</v>
      </c>
      <c r="D98" s="179" t="s">
        <v>15</v>
      </c>
      <c r="E98" s="179" t="s">
        <v>387</v>
      </c>
      <c r="F98" s="179" t="s">
        <v>331</v>
      </c>
      <c r="G98" s="106" t="n">
        <v>980</v>
      </c>
      <c r="H98" s="106" t="n">
        <v>3</v>
      </c>
      <c r="I98" s="106" t="n">
        <v>0</v>
      </c>
      <c r="J98" s="106" t="n">
        <v>0</v>
      </c>
      <c r="K98" s="188" t="n">
        <v>18</v>
      </c>
      <c r="L98" s="188" t="str">
        <f aca="false">IF(K98&gt;=65,"High",IF(K98&gt;=35,"Medium","Low"))</f>
        <v>Low</v>
      </c>
      <c r="M98" s="179" t="s">
        <v>152</v>
      </c>
    </row>
    <row r="99" customFormat="false" ht="15" hidden="false" customHeight="false" outlineLevel="0" collapsed="false">
      <c r="A99" s="102" t="s">
        <v>467</v>
      </c>
      <c r="B99" s="177" t="s">
        <v>468</v>
      </c>
      <c r="C99" s="102" t="s">
        <v>11</v>
      </c>
      <c r="D99" s="177" t="s">
        <v>25</v>
      </c>
      <c r="E99" s="177" t="s">
        <v>466</v>
      </c>
      <c r="F99" s="177" t="s">
        <v>377</v>
      </c>
      <c r="G99" s="102" t="n">
        <v>975</v>
      </c>
      <c r="H99" s="102" t="n">
        <v>3</v>
      </c>
      <c r="I99" s="102" t="n">
        <v>0</v>
      </c>
      <c r="J99" s="102" t="n">
        <v>0</v>
      </c>
      <c r="K99" s="186" t="n">
        <v>18</v>
      </c>
      <c r="L99" s="186" t="str">
        <f aca="false">IF(K99&gt;=65,"High",IF(K99&gt;=35,"Medium","Low"))</f>
        <v>Low</v>
      </c>
      <c r="M99" s="177" t="s">
        <v>152</v>
      </c>
    </row>
    <row r="100" customFormat="false" ht="15" hidden="false" customHeight="false" outlineLevel="0" collapsed="false">
      <c r="A100" s="106" t="s">
        <v>291</v>
      </c>
      <c r="B100" s="179" t="s">
        <v>292</v>
      </c>
      <c r="C100" s="106" t="s">
        <v>11</v>
      </c>
      <c r="D100" s="179" t="s">
        <v>15</v>
      </c>
      <c r="E100" s="179" t="s">
        <v>293</v>
      </c>
      <c r="F100" s="179" t="s">
        <v>294</v>
      </c>
      <c r="G100" s="106" t="n">
        <v>3647</v>
      </c>
      <c r="H100" s="106" t="n">
        <v>3</v>
      </c>
      <c r="I100" s="106" t="n">
        <v>0</v>
      </c>
      <c r="J100" s="106" t="n">
        <v>5</v>
      </c>
      <c r="K100" s="188" t="n">
        <v>16</v>
      </c>
      <c r="L100" s="188" t="str">
        <f aca="false">IF(K100&gt;=65,"High",IF(K100&gt;=35,"Medium","Low"))</f>
        <v>Low</v>
      </c>
      <c r="M100" s="179" t="s">
        <v>152</v>
      </c>
    </row>
    <row r="101" customFormat="false" ht="15" hidden="false" customHeight="false" outlineLevel="0" collapsed="false">
      <c r="A101" s="102" t="s">
        <v>296</v>
      </c>
      <c r="B101" s="177" t="s">
        <v>297</v>
      </c>
      <c r="C101" s="102" t="s">
        <v>11</v>
      </c>
      <c r="D101" s="177" t="s">
        <v>16</v>
      </c>
      <c r="E101" s="177" t="s">
        <v>298</v>
      </c>
      <c r="F101" s="177" t="s">
        <v>294</v>
      </c>
      <c r="G101" s="102" t="n">
        <v>2763</v>
      </c>
      <c r="H101" s="102" t="n">
        <v>3</v>
      </c>
      <c r="I101" s="102" t="n">
        <v>5</v>
      </c>
      <c r="J101" s="102" t="n">
        <v>0</v>
      </c>
      <c r="K101" s="186" t="n">
        <v>16</v>
      </c>
      <c r="L101" s="186" t="str">
        <f aca="false">IF(K101&gt;=65,"High",IF(K101&gt;=35,"Medium","Low"))</f>
        <v>Low</v>
      </c>
      <c r="M101" s="177" t="s">
        <v>152</v>
      </c>
    </row>
    <row r="102" customFormat="false" ht="15" hidden="false" customHeight="false" outlineLevel="0" collapsed="false">
      <c r="A102" s="106" t="s">
        <v>330</v>
      </c>
      <c r="B102" s="179" t="s">
        <v>331</v>
      </c>
      <c r="C102" s="106" t="s">
        <v>11</v>
      </c>
      <c r="D102" s="179" t="s">
        <v>15</v>
      </c>
      <c r="E102" s="179" t="s">
        <v>325</v>
      </c>
      <c r="F102" s="179" t="s">
        <v>292</v>
      </c>
      <c r="G102" s="106" t="n">
        <v>1400</v>
      </c>
      <c r="H102" s="106" t="n">
        <v>3</v>
      </c>
      <c r="I102" s="106" t="n">
        <v>5</v>
      </c>
      <c r="J102" s="106" t="n">
        <v>0</v>
      </c>
      <c r="K102" s="188" t="n">
        <v>16</v>
      </c>
      <c r="L102" s="188" t="str">
        <f aca="false">IF(K102&gt;=65,"High",IF(K102&gt;=35,"Medium","Low"))</f>
        <v>Low</v>
      </c>
      <c r="M102" s="179" t="s">
        <v>152</v>
      </c>
    </row>
    <row r="103" customFormat="false" ht="15" hidden="false" customHeight="false" outlineLevel="0" collapsed="false">
      <c r="A103" s="102" t="s">
        <v>335</v>
      </c>
      <c r="B103" s="177" t="s">
        <v>336</v>
      </c>
      <c r="C103" s="102" t="s">
        <v>11</v>
      </c>
      <c r="D103" s="177" t="s">
        <v>16</v>
      </c>
      <c r="E103" s="177" t="s">
        <v>334</v>
      </c>
      <c r="F103" s="177" t="s">
        <v>297</v>
      </c>
      <c r="G103" s="102" t="n">
        <v>1354</v>
      </c>
      <c r="H103" s="102" t="n">
        <v>3</v>
      </c>
      <c r="I103" s="102" t="n">
        <v>0</v>
      </c>
      <c r="J103" s="102" t="n">
        <v>5</v>
      </c>
      <c r="K103" s="186" t="n">
        <v>16</v>
      </c>
      <c r="L103" s="186" t="str">
        <f aca="false">IF(K103&gt;=65,"High",IF(K103&gt;=35,"Medium","Low"))</f>
        <v>Low</v>
      </c>
      <c r="M103" s="177" t="s">
        <v>152</v>
      </c>
    </row>
    <row r="104" customFormat="false" ht="15" hidden="false" customHeight="false" outlineLevel="0" collapsed="false">
      <c r="A104" s="106" t="s">
        <v>342</v>
      </c>
      <c r="B104" s="179" t="s">
        <v>343</v>
      </c>
      <c r="C104" s="106" t="s">
        <v>11</v>
      </c>
      <c r="D104" s="179" t="s">
        <v>20</v>
      </c>
      <c r="E104" s="179" t="s">
        <v>340</v>
      </c>
      <c r="F104" s="179" t="s">
        <v>109</v>
      </c>
      <c r="G104" s="106" t="n">
        <v>1301</v>
      </c>
      <c r="H104" s="106" t="n">
        <v>3</v>
      </c>
      <c r="I104" s="106" t="n">
        <v>0</v>
      </c>
      <c r="J104" s="106" t="n">
        <v>5</v>
      </c>
      <c r="K104" s="188" t="n">
        <v>16</v>
      </c>
      <c r="L104" s="188" t="str">
        <f aca="false">IF(K104&gt;=65,"High",IF(K104&gt;=35,"Medium","Low"))</f>
        <v>Low</v>
      </c>
      <c r="M104" s="179" t="s">
        <v>152</v>
      </c>
    </row>
    <row r="105" customFormat="false" ht="15" hidden="false" customHeight="false" outlineLevel="0" collapsed="false">
      <c r="A105" s="102" t="s">
        <v>344</v>
      </c>
      <c r="B105" s="177" t="s">
        <v>345</v>
      </c>
      <c r="C105" s="102" t="s">
        <v>11</v>
      </c>
      <c r="D105" s="177" t="s">
        <v>20</v>
      </c>
      <c r="E105" s="177" t="s">
        <v>340</v>
      </c>
      <c r="F105" s="177" t="s">
        <v>109</v>
      </c>
      <c r="G105" s="102" t="n">
        <v>2483</v>
      </c>
      <c r="H105" s="102" t="n">
        <v>3</v>
      </c>
      <c r="I105" s="102" t="n">
        <v>5</v>
      </c>
      <c r="J105" s="102" t="n">
        <v>0</v>
      </c>
      <c r="K105" s="186" t="n">
        <v>16</v>
      </c>
      <c r="L105" s="186" t="str">
        <f aca="false">IF(K105&gt;=65,"High",IF(K105&gt;=35,"Medium","Low"))</f>
        <v>Low</v>
      </c>
      <c r="M105" s="177" t="s">
        <v>152</v>
      </c>
    </row>
    <row r="106" customFormat="false" ht="15" hidden="false" customHeight="false" outlineLevel="0" collapsed="false">
      <c r="A106" s="106" t="s">
        <v>367</v>
      </c>
      <c r="B106" s="179" t="s">
        <v>119</v>
      </c>
      <c r="C106" s="106" t="s">
        <v>11</v>
      </c>
      <c r="D106" s="179" t="s">
        <v>23</v>
      </c>
      <c r="E106" s="179" t="s">
        <v>365</v>
      </c>
      <c r="F106" s="179" t="s">
        <v>312</v>
      </c>
      <c r="G106" s="106" t="n">
        <v>2760</v>
      </c>
      <c r="H106" s="106" t="n">
        <v>3</v>
      </c>
      <c r="I106" s="106" t="n">
        <v>5</v>
      </c>
      <c r="J106" s="106" t="n">
        <v>0</v>
      </c>
      <c r="K106" s="188" t="n">
        <v>16</v>
      </c>
      <c r="L106" s="188" t="str">
        <f aca="false">IF(K106&gt;=65,"High",IF(K106&gt;=35,"Medium","Low"))</f>
        <v>Low</v>
      </c>
      <c r="M106" s="179" t="s">
        <v>152</v>
      </c>
    </row>
    <row r="107" customFormat="false" ht="15" hidden="false" customHeight="false" outlineLevel="0" collapsed="false">
      <c r="A107" s="102" t="s">
        <v>372</v>
      </c>
      <c r="B107" s="177" t="s">
        <v>373</v>
      </c>
      <c r="C107" s="102" t="s">
        <v>11</v>
      </c>
      <c r="D107" s="177" t="s">
        <v>24</v>
      </c>
      <c r="E107" s="177" t="s">
        <v>371</v>
      </c>
      <c r="F107" s="177" t="s">
        <v>316</v>
      </c>
      <c r="G107" s="102" t="n">
        <v>2311</v>
      </c>
      <c r="H107" s="102" t="n">
        <v>3</v>
      </c>
      <c r="I107" s="102" t="n">
        <v>5</v>
      </c>
      <c r="J107" s="102" t="n">
        <v>0</v>
      </c>
      <c r="K107" s="186" t="n">
        <v>16</v>
      </c>
      <c r="L107" s="186" t="str">
        <f aca="false">IF(K107&gt;=65,"High",IF(K107&gt;=35,"Medium","Low"))</f>
        <v>Low</v>
      </c>
      <c r="M107" s="177" t="s">
        <v>152</v>
      </c>
    </row>
    <row r="108" customFormat="false" ht="15" hidden="false" customHeight="false" outlineLevel="0" collapsed="false">
      <c r="A108" s="106" t="s">
        <v>421</v>
      </c>
      <c r="B108" s="179" t="s">
        <v>422</v>
      </c>
      <c r="C108" s="106" t="s">
        <v>11</v>
      </c>
      <c r="D108" s="179" t="s">
        <v>21</v>
      </c>
      <c r="E108" s="179" t="s">
        <v>419</v>
      </c>
      <c r="F108" s="179" t="s">
        <v>164</v>
      </c>
      <c r="G108" s="106" t="n">
        <v>1346</v>
      </c>
      <c r="H108" s="106" t="n">
        <v>3</v>
      </c>
      <c r="I108" s="106" t="n">
        <v>5</v>
      </c>
      <c r="J108" s="106" t="n">
        <v>0</v>
      </c>
      <c r="K108" s="188" t="n">
        <v>16</v>
      </c>
      <c r="L108" s="188" t="str">
        <f aca="false">IF(K108&gt;=65,"High",IF(K108&gt;=35,"Medium","Low"))</f>
        <v>Low</v>
      </c>
      <c r="M108" s="179" t="s">
        <v>152</v>
      </c>
    </row>
    <row r="109" customFormat="false" ht="15" hidden="false" customHeight="false" outlineLevel="0" collapsed="false">
      <c r="A109" s="102" t="s">
        <v>431</v>
      </c>
      <c r="B109" s="177" t="s">
        <v>432</v>
      </c>
      <c r="C109" s="102" t="s">
        <v>11</v>
      </c>
      <c r="D109" s="177" t="s">
        <v>22</v>
      </c>
      <c r="E109" s="177" t="s">
        <v>433</v>
      </c>
      <c r="F109" s="177" t="s">
        <v>79</v>
      </c>
      <c r="G109" s="102" t="n">
        <v>1355</v>
      </c>
      <c r="H109" s="102" t="n">
        <v>3</v>
      </c>
      <c r="I109" s="102" t="n">
        <v>5</v>
      </c>
      <c r="J109" s="102" t="n">
        <v>0</v>
      </c>
      <c r="K109" s="186" t="n">
        <v>16</v>
      </c>
      <c r="L109" s="186" t="str">
        <f aca="false">IF(K109&gt;=65,"High",IF(K109&gt;=35,"Medium","Low"))</f>
        <v>Low</v>
      </c>
      <c r="M109" s="177" t="s">
        <v>152</v>
      </c>
    </row>
    <row r="110" customFormat="false" ht="15" hidden="false" customHeight="false" outlineLevel="0" collapsed="false">
      <c r="A110" s="106" t="s">
        <v>435</v>
      </c>
      <c r="B110" s="179" t="s">
        <v>436</v>
      </c>
      <c r="C110" s="106" t="s">
        <v>11</v>
      </c>
      <c r="D110" s="179" t="s">
        <v>22</v>
      </c>
      <c r="E110" s="179" t="s">
        <v>433</v>
      </c>
      <c r="F110" s="179" t="s">
        <v>361</v>
      </c>
      <c r="G110" s="106" t="n">
        <v>1160</v>
      </c>
      <c r="H110" s="106" t="n">
        <v>3</v>
      </c>
      <c r="I110" s="106" t="n">
        <v>5</v>
      </c>
      <c r="J110" s="106" t="n">
        <v>0</v>
      </c>
      <c r="K110" s="188" t="n">
        <v>16</v>
      </c>
      <c r="L110" s="188" t="str">
        <f aca="false">IF(K110&gt;=65,"High",IF(K110&gt;=35,"Medium","Low"))</f>
        <v>Low</v>
      </c>
      <c r="M110" s="179" t="s">
        <v>152</v>
      </c>
    </row>
    <row r="111" customFormat="false" ht="15" hidden="false" customHeight="false" outlineLevel="0" collapsed="false">
      <c r="A111" s="102" t="s">
        <v>444</v>
      </c>
      <c r="B111" s="177" t="s">
        <v>445</v>
      </c>
      <c r="C111" s="102" t="s">
        <v>11</v>
      </c>
      <c r="D111" s="177" t="s">
        <v>23</v>
      </c>
      <c r="E111" s="177" t="s">
        <v>441</v>
      </c>
      <c r="F111" s="177" t="s">
        <v>119</v>
      </c>
      <c r="G111" s="102" t="n">
        <v>1161</v>
      </c>
      <c r="H111" s="102" t="n">
        <v>3</v>
      </c>
      <c r="I111" s="102" t="n">
        <v>0</v>
      </c>
      <c r="J111" s="102" t="n">
        <v>5</v>
      </c>
      <c r="K111" s="186" t="n">
        <v>16</v>
      </c>
      <c r="L111" s="186" t="str">
        <f aca="false">IF(K111&gt;=65,"High",IF(K111&gt;=35,"Medium","Low"))</f>
        <v>Low</v>
      </c>
      <c r="M111" s="177" t="s">
        <v>152</v>
      </c>
    </row>
    <row r="112" customFormat="false" ht="15" hidden="false" customHeight="false" outlineLevel="0" collapsed="false">
      <c r="A112" s="106" t="s">
        <v>482</v>
      </c>
      <c r="B112" s="179" t="s">
        <v>122</v>
      </c>
      <c r="C112" s="106" t="s">
        <v>12</v>
      </c>
      <c r="D112" s="179" t="s">
        <v>16</v>
      </c>
      <c r="E112" s="179" t="s">
        <v>298</v>
      </c>
      <c r="F112" s="179" t="s">
        <v>294</v>
      </c>
      <c r="G112" s="106" t="n">
        <v>3689</v>
      </c>
      <c r="H112" s="106" t="n">
        <v>3</v>
      </c>
      <c r="I112" s="106" t="n">
        <v>0</v>
      </c>
      <c r="J112" s="106" t="n">
        <v>5</v>
      </c>
      <c r="K112" s="188" t="n">
        <v>16</v>
      </c>
      <c r="L112" s="188" t="str">
        <f aca="false">IF(K112&gt;=65,"High",IF(K112&gt;=35,"Medium","Low"))</f>
        <v>Low</v>
      </c>
      <c r="M112" s="179" t="s">
        <v>152</v>
      </c>
    </row>
    <row r="113" customFormat="false" ht="15" hidden="false" customHeight="false" outlineLevel="0" collapsed="false">
      <c r="A113" s="102" t="s">
        <v>483</v>
      </c>
      <c r="B113" s="177" t="s">
        <v>484</v>
      </c>
      <c r="C113" s="102" t="s">
        <v>12</v>
      </c>
      <c r="D113" s="177" t="s">
        <v>20</v>
      </c>
      <c r="E113" s="177" t="s">
        <v>301</v>
      </c>
      <c r="F113" s="177" t="s">
        <v>294</v>
      </c>
      <c r="G113" s="102" t="n">
        <v>2043</v>
      </c>
      <c r="H113" s="102" t="n">
        <v>3</v>
      </c>
      <c r="I113" s="102" t="n">
        <v>0</v>
      </c>
      <c r="J113" s="102" t="n">
        <v>5</v>
      </c>
      <c r="K113" s="186" t="n">
        <v>16</v>
      </c>
      <c r="L113" s="186" t="str">
        <f aca="false">IF(K113&gt;=65,"High",IF(K113&gt;=35,"Medium","Low"))</f>
        <v>Low</v>
      </c>
      <c r="M113" s="177" t="s">
        <v>152</v>
      </c>
    </row>
    <row r="114" customFormat="false" ht="15" hidden="false" customHeight="false" outlineLevel="0" collapsed="false">
      <c r="A114" s="106" t="s">
        <v>497</v>
      </c>
      <c r="B114" s="179" t="s">
        <v>498</v>
      </c>
      <c r="C114" s="106" t="s">
        <v>12</v>
      </c>
      <c r="D114" s="179" t="s">
        <v>20</v>
      </c>
      <c r="E114" s="179" t="s">
        <v>340</v>
      </c>
      <c r="F114" s="179" t="s">
        <v>484</v>
      </c>
      <c r="G114" s="106" t="n">
        <v>2038</v>
      </c>
      <c r="H114" s="106" t="n">
        <v>3</v>
      </c>
      <c r="I114" s="106" t="n">
        <v>0</v>
      </c>
      <c r="J114" s="106" t="n">
        <v>5</v>
      </c>
      <c r="K114" s="188" t="n">
        <v>16</v>
      </c>
      <c r="L114" s="188" t="str">
        <f aca="false">IF(K114&gt;=65,"High",IF(K114&gt;=35,"Medium","Low"))</f>
        <v>Low</v>
      </c>
      <c r="M114" s="179" t="s">
        <v>152</v>
      </c>
    </row>
    <row r="115" customFormat="false" ht="15" hidden="false" customHeight="false" outlineLevel="0" collapsed="false">
      <c r="A115" s="102" t="s">
        <v>527</v>
      </c>
      <c r="B115" s="177" t="s">
        <v>528</v>
      </c>
      <c r="C115" s="102" t="s">
        <v>12</v>
      </c>
      <c r="D115" s="177" t="s">
        <v>21</v>
      </c>
      <c r="E115" s="177" t="s">
        <v>419</v>
      </c>
      <c r="F115" s="177" t="s">
        <v>502</v>
      </c>
      <c r="G115" s="102" t="n">
        <v>1383</v>
      </c>
      <c r="H115" s="102" t="n">
        <v>3</v>
      </c>
      <c r="I115" s="102" t="n">
        <v>0</v>
      </c>
      <c r="J115" s="102" t="n">
        <v>5</v>
      </c>
      <c r="K115" s="186" t="n">
        <v>16</v>
      </c>
      <c r="L115" s="186" t="str">
        <f aca="false">IF(K115&gt;=65,"High",IF(K115&gt;=35,"Medium","Low"))</f>
        <v>Low</v>
      </c>
      <c r="M115" s="177" t="s">
        <v>152</v>
      </c>
    </row>
    <row r="116" customFormat="false" ht="15" hidden="false" customHeight="false" outlineLevel="0" collapsed="false">
      <c r="A116" s="106" t="s">
        <v>347</v>
      </c>
      <c r="B116" s="179" t="s">
        <v>348</v>
      </c>
      <c r="C116" s="106" t="s">
        <v>11</v>
      </c>
      <c r="D116" s="179" t="s">
        <v>21</v>
      </c>
      <c r="E116" s="179" t="s">
        <v>349</v>
      </c>
      <c r="F116" s="179" t="s">
        <v>304</v>
      </c>
      <c r="G116" s="106" t="n">
        <v>2325</v>
      </c>
      <c r="H116" s="106" t="n">
        <v>3</v>
      </c>
      <c r="I116" s="106" t="n">
        <v>0</v>
      </c>
      <c r="J116" s="106" t="n">
        <v>0</v>
      </c>
      <c r="K116" s="188" t="n">
        <v>11</v>
      </c>
      <c r="L116" s="188" t="str">
        <f aca="false">IF(K116&gt;=65,"High",IF(K116&gt;=35,"Medium","Low"))</f>
        <v>Low</v>
      </c>
      <c r="M116" s="179" t="s">
        <v>152</v>
      </c>
    </row>
    <row r="117" customFormat="false" ht="15" hidden="false" customHeight="false" outlineLevel="0" collapsed="false">
      <c r="A117" s="102" t="s">
        <v>355</v>
      </c>
      <c r="B117" s="177" t="s">
        <v>356</v>
      </c>
      <c r="C117" s="102" t="s">
        <v>11</v>
      </c>
      <c r="D117" s="177" t="s">
        <v>22</v>
      </c>
      <c r="E117" s="177" t="s">
        <v>357</v>
      </c>
      <c r="F117" s="177" t="s">
        <v>308</v>
      </c>
      <c r="G117" s="102" t="n">
        <v>2603</v>
      </c>
      <c r="H117" s="102" t="n">
        <v>3</v>
      </c>
      <c r="I117" s="102" t="n">
        <v>0</v>
      </c>
      <c r="J117" s="102" t="n">
        <v>0</v>
      </c>
      <c r="K117" s="186" t="n">
        <v>11</v>
      </c>
      <c r="L117" s="186" t="str">
        <f aca="false">IF(K117&gt;=65,"High",IF(K117&gt;=35,"Medium","Low"))</f>
        <v>Low</v>
      </c>
      <c r="M117" s="177" t="s">
        <v>152</v>
      </c>
    </row>
    <row r="118" customFormat="false" ht="15" hidden="false" customHeight="false" outlineLevel="0" collapsed="false">
      <c r="A118" s="106" t="s">
        <v>480</v>
      </c>
      <c r="B118" s="179" t="s">
        <v>481</v>
      </c>
      <c r="C118" s="106" t="s">
        <v>12</v>
      </c>
      <c r="D118" s="179" t="s">
        <v>15</v>
      </c>
      <c r="E118" s="179" t="s">
        <v>293</v>
      </c>
      <c r="F118" s="179" t="s">
        <v>294</v>
      </c>
      <c r="G118" s="106" t="n">
        <v>2132</v>
      </c>
      <c r="H118" s="106" t="n">
        <v>3</v>
      </c>
      <c r="I118" s="106" t="n">
        <v>0</v>
      </c>
      <c r="J118" s="106" t="n">
        <v>0</v>
      </c>
      <c r="K118" s="188" t="n">
        <v>11</v>
      </c>
      <c r="L118" s="188" t="str">
        <f aca="false">IF(K118&gt;=65,"High",IF(K118&gt;=35,"Medium","Low"))</f>
        <v>Low</v>
      </c>
      <c r="M118" s="179" t="s">
        <v>152</v>
      </c>
    </row>
    <row r="119" customFormat="false" ht="15" hidden="false" customHeight="false" outlineLevel="0" collapsed="false">
      <c r="A119" s="102" t="s">
        <v>499</v>
      </c>
      <c r="B119" s="177" t="s">
        <v>500</v>
      </c>
      <c r="C119" s="102" t="s">
        <v>12</v>
      </c>
      <c r="D119" s="177" t="s">
        <v>20</v>
      </c>
      <c r="E119" s="177" t="s">
        <v>340</v>
      </c>
      <c r="F119" s="177" t="s">
        <v>484</v>
      </c>
      <c r="G119" s="102" t="n">
        <v>1814</v>
      </c>
      <c r="H119" s="102" t="n">
        <v>3</v>
      </c>
      <c r="I119" s="102" t="n">
        <v>0</v>
      </c>
      <c r="J119" s="102" t="n">
        <v>0</v>
      </c>
      <c r="K119" s="186" t="n">
        <v>11</v>
      </c>
      <c r="L119" s="186" t="str">
        <f aca="false">IF(K119&gt;=65,"High",IF(K119&gt;=35,"Medium","Low"))</f>
        <v>Low</v>
      </c>
      <c r="M119" s="177" t="s">
        <v>152</v>
      </c>
    </row>
    <row r="120" customFormat="false" ht="15" hidden="false" customHeight="false" outlineLevel="0" collapsed="false">
      <c r="A120" s="106" t="s">
        <v>521</v>
      </c>
      <c r="B120" s="179" t="s">
        <v>522</v>
      </c>
      <c r="C120" s="106" t="s">
        <v>12</v>
      </c>
      <c r="D120" s="179" t="s">
        <v>20</v>
      </c>
      <c r="E120" s="179" t="s">
        <v>410</v>
      </c>
      <c r="F120" s="179" t="s">
        <v>498</v>
      </c>
      <c r="G120" s="106" t="n">
        <v>1509</v>
      </c>
      <c r="H120" s="106" t="n">
        <v>3</v>
      </c>
      <c r="I120" s="106" t="n">
        <v>0</v>
      </c>
      <c r="J120" s="106" t="n">
        <v>0</v>
      </c>
      <c r="K120" s="188" t="n">
        <v>11</v>
      </c>
      <c r="L120" s="188" t="str">
        <f aca="false">IF(K120&gt;=65,"High",IF(K120&gt;=35,"Medium","Low"))</f>
        <v>Low</v>
      </c>
      <c r="M120" s="179" t="s">
        <v>152</v>
      </c>
    </row>
  </sheetData>
  <mergeCells count="2">
    <mergeCell ref="A1:M1"/>
    <mergeCell ref="A2:M2"/>
  </mergeCells>
  <conditionalFormatting sqref="K5:K120">
    <cfRule type="colorScale" priority="2">
      <colorScale>
        <cfvo type="num" val="0"/>
        <cfvo type="num" val="40"/>
        <cfvo type="num" val="85"/>
        <color rgb="FF86EFAC"/>
        <color rgb="FFFEF3C7"/>
        <color rgb="FFFECACA"/>
      </colorScale>
    </cfRule>
  </conditionalFormatting>
  <conditionalFormatting sqref="L5:L120">
    <cfRule type="expression" priority="3" aboveAverage="0" equalAverage="0" bottom="0" percent="0" rank="0" text="" dxfId="23">
      <formula>$L5="High"</formula>
    </cfRule>
    <cfRule type="expression" priority="4" aboveAverage="0" equalAverage="0" bottom="0" percent="0" rank="0" text="" dxfId="24">
      <formula>$L5="Medium"</formula>
    </cfRule>
    <cfRule type="expression" priority="5" aboveAverage="0" equalAverage="0" bottom="0" percent="0" rank="0" text="" dxfId="25">
      <formula>$L5="Low"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true"/>
  </sheetPr>
  <dimension ref="A1:F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61" t="s">
        <v>1941</v>
      </c>
      <c r="B1" s="161"/>
      <c r="C1" s="161"/>
      <c r="D1" s="161"/>
      <c r="E1" s="161"/>
      <c r="F1" s="161"/>
    </row>
    <row r="2" customFormat="false" ht="24" hidden="false" customHeight="true" outlineLevel="0" collapsed="false">
      <c r="A2" s="162" t="s">
        <v>1942</v>
      </c>
      <c r="B2" s="162"/>
      <c r="C2" s="162"/>
      <c r="D2" s="162"/>
      <c r="E2" s="162"/>
      <c r="F2" s="162"/>
    </row>
    <row r="4" customFormat="false" ht="31.5" hidden="false" customHeight="true" outlineLevel="0" collapsed="false">
      <c r="A4" s="163" t="s">
        <v>282</v>
      </c>
      <c r="B4" s="163" t="s">
        <v>51</v>
      </c>
      <c r="C4" s="163" t="s">
        <v>10</v>
      </c>
      <c r="D4" s="163" t="s">
        <v>1943</v>
      </c>
      <c r="E4" s="163" t="s">
        <v>1944</v>
      </c>
      <c r="F4" s="163" t="s">
        <v>1945</v>
      </c>
    </row>
    <row r="5" customFormat="false" ht="15" hidden="false" customHeight="false" outlineLevel="0" collapsed="false">
      <c r="A5" s="164" t="s">
        <v>480</v>
      </c>
      <c r="B5" s="165" t="s">
        <v>481</v>
      </c>
      <c r="C5" s="165" t="s">
        <v>15</v>
      </c>
      <c r="D5" s="164" t="s">
        <v>1946</v>
      </c>
      <c r="E5" s="172" t="n">
        <v>0.9</v>
      </c>
      <c r="F5" s="164"/>
    </row>
    <row r="6" customFormat="false" ht="15" hidden="false" customHeight="false" outlineLevel="0" collapsed="false">
      <c r="A6" s="168" t="s">
        <v>480</v>
      </c>
      <c r="B6" s="169" t="s">
        <v>481</v>
      </c>
      <c r="C6" s="169" t="s">
        <v>15</v>
      </c>
      <c r="D6" s="168" t="s">
        <v>1947</v>
      </c>
      <c r="E6" s="173" t="n">
        <v>1</v>
      </c>
      <c r="F6" s="168"/>
    </row>
    <row r="7" customFormat="false" ht="15" hidden="false" customHeight="false" outlineLevel="0" collapsed="false">
      <c r="A7" s="164" t="s">
        <v>480</v>
      </c>
      <c r="B7" s="165" t="s">
        <v>481</v>
      </c>
      <c r="C7" s="165" t="s">
        <v>15</v>
      </c>
      <c r="D7" s="164" t="s">
        <v>1948</v>
      </c>
      <c r="E7" s="172" t="n">
        <v>1</v>
      </c>
      <c r="F7" s="164"/>
    </row>
    <row r="8" customFormat="false" ht="15" hidden="false" customHeight="false" outlineLevel="0" collapsed="false">
      <c r="A8" s="168" t="s">
        <v>480</v>
      </c>
      <c r="B8" s="169" t="s">
        <v>481</v>
      </c>
      <c r="C8" s="169" t="s">
        <v>15</v>
      </c>
      <c r="D8" s="168" t="s">
        <v>1949</v>
      </c>
      <c r="E8" s="173" t="n">
        <v>0.9</v>
      </c>
      <c r="F8" s="168"/>
    </row>
    <row r="9" customFormat="false" ht="15" hidden="false" customHeight="false" outlineLevel="0" collapsed="false">
      <c r="A9" s="164" t="s">
        <v>480</v>
      </c>
      <c r="B9" s="165" t="s">
        <v>481</v>
      </c>
      <c r="C9" s="165" t="s">
        <v>15</v>
      </c>
      <c r="D9" s="164" t="s">
        <v>1950</v>
      </c>
      <c r="E9" s="172" t="n">
        <v>1</v>
      </c>
      <c r="F9" s="164"/>
    </row>
    <row r="10" customFormat="false" ht="15" hidden="false" customHeight="false" outlineLevel="0" collapsed="false">
      <c r="A10" s="168" t="s">
        <v>482</v>
      </c>
      <c r="B10" s="169" t="s">
        <v>122</v>
      </c>
      <c r="C10" s="169" t="s">
        <v>16</v>
      </c>
      <c r="D10" s="168" t="s">
        <v>1946</v>
      </c>
      <c r="E10" s="173" t="n">
        <v>1</v>
      </c>
      <c r="F10" s="168"/>
    </row>
    <row r="11" customFormat="false" ht="15" hidden="false" customHeight="false" outlineLevel="0" collapsed="false">
      <c r="A11" s="164" t="s">
        <v>482</v>
      </c>
      <c r="B11" s="165" t="s">
        <v>122</v>
      </c>
      <c r="C11" s="165" t="s">
        <v>16</v>
      </c>
      <c r="D11" s="164" t="s">
        <v>1947</v>
      </c>
      <c r="E11" s="172" t="n">
        <v>1</v>
      </c>
      <c r="F11" s="164"/>
    </row>
    <row r="12" customFormat="false" ht="15" hidden="false" customHeight="false" outlineLevel="0" collapsed="false">
      <c r="A12" s="168" t="s">
        <v>482</v>
      </c>
      <c r="B12" s="169" t="s">
        <v>122</v>
      </c>
      <c r="C12" s="169" t="s">
        <v>16</v>
      </c>
      <c r="D12" s="168" t="s">
        <v>1948</v>
      </c>
      <c r="E12" s="173" t="n">
        <v>1</v>
      </c>
      <c r="F12" s="168"/>
    </row>
    <row r="13" customFormat="false" ht="15" hidden="false" customHeight="false" outlineLevel="0" collapsed="false">
      <c r="A13" s="164" t="s">
        <v>482</v>
      </c>
      <c r="B13" s="165" t="s">
        <v>122</v>
      </c>
      <c r="C13" s="165" t="s">
        <v>16</v>
      </c>
      <c r="D13" s="164" t="s">
        <v>1949</v>
      </c>
      <c r="E13" s="172" t="n">
        <v>0.9</v>
      </c>
      <c r="F13" s="164"/>
    </row>
    <row r="14" customFormat="false" ht="15" hidden="false" customHeight="false" outlineLevel="0" collapsed="false">
      <c r="A14" s="168" t="s">
        <v>482</v>
      </c>
      <c r="B14" s="169" t="s">
        <v>122</v>
      </c>
      <c r="C14" s="169" t="s">
        <v>16</v>
      </c>
      <c r="D14" s="168" t="s">
        <v>1950</v>
      </c>
      <c r="E14" s="173" t="n">
        <v>0.95</v>
      </c>
      <c r="F14" s="168"/>
    </row>
    <row r="15" customFormat="false" ht="15" hidden="false" customHeight="false" outlineLevel="0" collapsed="false">
      <c r="A15" s="164" t="s">
        <v>483</v>
      </c>
      <c r="B15" s="165" t="s">
        <v>484</v>
      </c>
      <c r="C15" s="165" t="s">
        <v>20</v>
      </c>
      <c r="D15" s="164" t="s">
        <v>1946</v>
      </c>
      <c r="E15" s="172" t="n">
        <v>1</v>
      </c>
      <c r="F15" s="164"/>
    </row>
    <row r="16" customFormat="false" ht="15" hidden="false" customHeight="false" outlineLevel="0" collapsed="false">
      <c r="A16" s="168" t="s">
        <v>483</v>
      </c>
      <c r="B16" s="169" t="s">
        <v>484</v>
      </c>
      <c r="C16" s="169" t="s">
        <v>20</v>
      </c>
      <c r="D16" s="168" t="s">
        <v>1947</v>
      </c>
      <c r="E16" s="173" t="n">
        <v>1</v>
      </c>
      <c r="F16" s="168"/>
    </row>
    <row r="17" customFormat="false" ht="15" hidden="false" customHeight="false" outlineLevel="0" collapsed="false">
      <c r="A17" s="164" t="s">
        <v>483</v>
      </c>
      <c r="B17" s="165" t="s">
        <v>484</v>
      </c>
      <c r="C17" s="165" t="s">
        <v>20</v>
      </c>
      <c r="D17" s="164" t="s">
        <v>1948</v>
      </c>
      <c r="E17" s="172" t="n">
        <v>1</v>
      </c>
      <c r="F17" s="164"/>
    </row>
    <row r="18" customFormat="false" ht="15" hidden="false" customHeight="false" outlineLevel="0" collapsed="false">
      <c r="A18" s="168" t="s">
        <v>483</v>
      </c>
      <c r="B18" s="169" t="s">
        <v>484</v>
      </c>
      <c r="C18" s="169" t="s">
        <v>20</v>
      </c>
      <c r="D18" s="168" t="s">
        <v>1949</v>
      </c>
      <c r="E18" s="173" t="n">
        <v>1</v>
      </c>
      <c r="F18" s="168"/>
    </row>
    <row r="19" customFormat="false" ht="15" hidden="false" customHeight="false" outlineLevel="0" collapsed="false">
      <c r="A19" s="164" t="s">
        <v>483</v>
      </c>
      <c r="B19" s="165" t="s">
        <v>484</v>
      </c>
      <c r="C19" s="165" t="s">
        <v>20</v>
      </c>
      <c r="D19" s="164" t="s">
        <v>1950</v>
      </c>
      <c r="E19" s="172" t="n">
        <v>1</v>
      </c>
      <c r="F19" s="164"/>
    </row>
    <row r="20" customFormat="false" ht="15" hidden="false" customHeight="false" outlineLevel="0" collapsed="false">
      <c r="A20" s="168" t="s">
        <v>485</v>
      </c>
      <c r="B20" s="169" t="s">
        <v>486</v>
      </c>
      <c r="C20" s="169" t="s">
        <v>21</v>
      </c>
      <c r="D20" s="168" t="s">
        <v>1946</v>
      </c>
      <c r="E20" s="173" t="n">
        <v>1</v>
      </c>
      <c r="F20" s="168"/>
    </row>
    <row r="21" customFormat="false" ht="15" hidden="false" customHeight="false" outlineLevel="0" collapsed="false">
      <c r="A21" s="164" t="s">
        <v>485</v>
      </c>
      <c r="B21" s="165" t="s">
        <v>486</v>
      </c>
      <c r="C21" s="165" t="s">
        <v>21</v>
      </c>
      <c r="D21" s="164" t="s">
        <v>1947</v>
      </c>
      <c r="E21" s="172" t="n">
        <v>0.9</v>
      </c>
      <c r="F21" s="164"/>
    </row>
    <row r="22" customFormat="false" ht="15" hidden="false" customHeight="false" outlineLevel="0" collapsed="false">
      <c r="A22" s="168" t="s">
        <v>485</v>
      </c>
      <c r="B22" s="169" t="s">
        <v>486</v>
      </c>
      <c r="C22" s="169" t="s">
        <v>21</v>
      </c>
      <c r="D22" s="168" t="s">
        <v>1948</v>
      </c>
      <c r="E22" s="173" t="n">
        <v>0.95</v>
      </c>
      <c r="F22" s="168"/>
    </row>
    <row r="23" customFormat="false" ht="15" hidden="false" customHeight="false" outlineLevel="0" collapsed="false">
      <c r="A23" s="164" t="s">
        <v>485</v>
      </c>
      <c r="B23" s="165" t="s">
        <v>486</v>
      </c>
      <c r="C23" s="165" t="s">
        <v>21</v>
      </c>
      <c r="D23" s="164" t="s">
        <v>1949</v>
      </c>
      <c r="E23" s="172" t="n">
        <v>1</v>
      </c>
      <c r="F23" s="164"/>
    </row>
    <row r="24" customFormat="false" ht="15" hidden="false" customHeight="false" outlineLevel="0" collapsed="false">
      <c r="A24" s="168" t="s">
        <v>485</v>
      </c>
      <c r="B24" s="169" t="s">
        <v>486</v>
      </c>
      <c r="C24" s="169" t="s">
        <v>21</v>
      </c>
      <c r="D24" s="168" t="s">
        <v>1950</v>
      </c>
      <c r="E24" s="173" t="n">
        <v>1</v>
      </c>
      <c r="F24" s="168"/>
    </row>
    <row r="25" customFormat="false" ht="15" hidden="false" customHeight="false" outlineLevel="0" collapsed="false">
      <c r="A25" s="164" t="s">
        <v>488</v>
      </c>
      <c r="B25" s="165" t="s">
        <v>489</v>
      </c>
      <c r="C25" s="165" t="s">
        <v>22</v>
      </c>
      <c r="D25" s="164" t="s">
        <v>1946</v>
      </c>
      <c r="E25" s="172" t="n">
        <v>0.95</v>
      </c>
      <c r="F25" s="164"/>
    </row>
    <row r="26" customFormat="false" ht="15" hidden="false" customHeight="false" outlineLevel="0" collapsed="false">
      <c r="A26" s="168" t="s">
        <v>488</v>
      </c>
      <c r="B26" s="169" t="s">
        <v>489</v>
      </c>
      <c r="C26" s="169" t="s">
        <v>22</v>
      </c>
      <c r="D26" s="168" t="s">
        <v>1947</v>
      </c>
      <c r="E26" s="173" t="n">
        <v>1</v>
      </c>
      <c r="F26" s="168"/>
    </row>
    <row r="27" customFormat="false" ht="15" hidden="false" customHeight="false" outlineLevel="0" collapsed="false">
      <c r="A27" s="164" t="s">
        <v>488</v>
      </c>
      <c r="B27" s="165" t="s">
        <v>489</v>
      </c>
      <c r="C27" s="165" t="s">
        <v>22</v>
      </c>
      <c r="D27" s="164" t="s">
        <v>1948</v>
      </c>
      <c r="E27" s="172" t="n">
        <v>1</v>
      </c>
      <c r="F27" s="164"/>
    </row>
    <row r="28" customFormat="false" ht="15" hidden="false" customHeight="false" outlineLevel="0" collapsed="false">
      <c r="A28" s="168" t="s">
        <v>488</v>
      </c>
      <c r="B28" s="169" t="s">
        <v>489</v>
      </c>
      <c r="C28" s="169" t="s">
        <v>22</v>
      </c>
      <c r="D28" s="168" t="s">
        <v>1949</v>
      </c>
      <c r="E28" s="173" t="n">
        <v>1</v>
      </c>
      <c r="F28" s="168"/>
    </row>
    <row r="29" customFormat="false" ht="15" hidden="false" customHeight="false" outlineLevel="0" collapsed="false">
      <c r="A29" s="164" t="s">
        <v>488</v>
      </c>
      <c r="B29" s="165" t="s">
        <v>489</v>
      </c>
      <c r="C29" s="165" t="s">
        <v>22</v>
      </c>
      <c r="D29" s="164" t="s">
        <v>1950</v>
      </c>
      <c r="E29" s="172" t="n">
        <v>1</v>
      </c>
      <c r="F29" s="164"/>
    </row>
    <row r="30" customFormat="false" ht="15" hidden="false" customHeight="false" outlineLevel="0" collapsed="false">
      <c r="A30" s="168" t="s">
        <v>490</v>
      </c>
      <c r="B30" s="169" t="s">
        <v>491</v>
      </c>
      <c r="C30" s="169" t="s">
        <v>23</v>
      </c>
      <c r="D30" s="168" t="s">
        <v>1946</v>
      </c>
      <c r="E30" s="173" t="n">
        <v>0.9</v>
      </c>
      <c r="F30" s="168"/>
    </row>
    <row r="31" customFormat="false" ht="15" hidden="false" customHeight="false" outlineLevel="0" collapsed="false">
      <c r="A31" s="164" t="s">
        <v>490</v>
      </c>
      <c r="B31" s="165" t="s">
        <v>491</v>
      </c>
      <c r="C31" s="165" t="s">
        <v>23</v>
      </c>
      <c r="D31" s="164" t="s">
        <v>1947</v>
      </c>
      <c r="E31" s="172" t="n">
        <v>0.9</v>
      </c>
      <c r="F31" s="164"/>
    </row>
    <row r="32" customFormat="false" ht="15" hidden="false" customHeight="false" outlineLevel="0" collapsed="false">
      <c r="A32" s="168" t="s">
        <v>490</v>
      </c>
      <c r="B32" s="169" t="s">
        <v>491</v>
      </c>
      <c r="C32" s="169" t="s">
        <v>23</v>
      </c>
      <c r="D32" s="168" t="s">
        <v>1948</v>
      </c>
      <c r="E32" s="173" t="n">
        <v>1</v>
      </c>
      <c r="F32" s="168"/>
    </row>
    <row r="33" customFormat="false" ht="15" hidden="false" customHeight="false" outlineLevel="0" collapsed="false">
      <c r="A33" s="164" t="s">
        <v>490</v>
      </c>
      <c r="B33" s="165" t="s">
        <v>491</v>
      </c>
      <c r="C33" s="165" t="s">
        <v>23</v>
      </c>
      <c r="D33" s="164" t="s">
        <v>1949</v>
      </c>
      <c r="E33" s="172" t="n">
        <v>1</v>
      </c>
      <c r="F33" s="164"/>
    </row>
    <row r="34" customFormat="false" ht="15" hidden="false" customHeight="false" outlineLevel="0" collapsed="false">
      <c r="A34" s="168" t="s">
        <v>490</v>
      </c>
      <c r="B34" s="169" t="s">
        <v>491</v>
      </c>
      <c r="C34" s="169" t="s">
        <v>23</v>
      </c>
      <c r="D34" s="168" t="s">
        <v>1950</v>
      </c>
      <c r="E34" s="173" t="n">
        <v>0.95</v>
      </c>
      <c r="F34" s="168"/>
    </row>
    <row r="35" customFormat="false" ht="15" hidden="false" customHeight="false" outlineLevel="0" collapsed="false">
      <c r="A35" s="164" t="s">
        <v>492</v>
      </c>
      <c r="B35" s="165" t="s">
        <v>493</v>
      </c>
      <c r="C35" s="165" t="s">
        <v>15</v>
      </c>
      <c r="D35" s="164" t="s">
        <v>1946</v>
      </c>
      <c r="E35" s="172" t="n">
        <v>1</v>
      </c>
      <c r="F35" s="164"/>
    </row>
    <row r="36" customFormat="false" ht="15" hidden="false" customHeight="false" outlineLevel="0" collapsed="false">
      <c r="A36" s="168" t="s">
        <v>492</v>
      </c>
      <c r="B36" s="169" t="s">
        <v>493</v>
      </c>
      <c r="C36" s="169" t="s">
        <v>15</v>
      </c>
      <c r="D36" s="168" t="s">
        <v>1947</v>
      </c>
      <c r="E36" s="173" t="n">
        <v>0.95</v>
      </c>
      <c r="F36" s="168"/>
    </row>
    <row r="37" customFormat="false" ht="15" hidden="false" customHeight="false" outlineLevel="0" collapsed="false">
      <c r="A37" s="164" t="s">
        <v>492</v>
      </c>
      <c r="B37" s="165" t="s">
        <v>493</v>
      </c>
      <c r="C37" s="165" t="s">
        <v>15</v>
      </c>
      <c r="D37" s="164" t="s">
        <v>1948</v>
      </c>
      <c r="E37" s="172" t="n">
        <v>1</v>
      </c>
      <c r="F37" s="164"/>
    </row>
    <row r="38" customFormat="false" ht="15" hidden="false" customHeight="false" outlineLevel="0" collapsed="false">
      <c r="A38" s="168" t="s">
        <v>492</v>
      </c>
      <c r="B38" s="169" t="s">
        <v>493</v>
      </c>
      <c r="C38" s="169" t="s">
        <v>15</v>
      </c>
      <c r="D38" s="168" t="s">
        <v>1949</v>
      </c>
      <c r="E38" s="173" t="n">
        <v>1</v>
      </c>
      <c r="F38" s="168"/>
    </row>
    <row r="39" customFormat="false" ht="15" hidden="false" customHeight="false" outlineLevel="0" collapsed="false">
      <c r="A39" s="164" t="s">
        <v>492</v>
      </c>
      <c r="B39" s="165" t="s">
        <v>493</v>
      </c>
      <c r="C39" s="165" t="s">
        <v>15</v>
      </c>
      <c r="D39" s="164" t="s">
        <v>1950</v>
      </c>
      <c r="E39" s="172" t="n">
        <v>0.9</v>
      </c>
      <c r="F39" s="164"/>
    </row>
    <row r="40" customFormat="false" ht="15" hidden="false" customHeight="false" outlineLevel="0" collapsed="false">
      <c r="A40" s="168" t="s">
        <v>494</v>
      </c>
      <c r="B40" s="169" t="s">
        <v>495</v>
      </c>
      <c r="C40" s="169" t="s">
        <v>16</v>
      </c>
      <c r="D40" s="168" t="s">
        <v>1946</v>
      </c>
      <c r="E40" s="173" t="n">
        <v>1</v>
      </c>
      <c r="F40" s="168"/>
    </row>
    <row r="41" customFormat="false" ht="15" hidden="false" customHeight="false" outlineLevel="0" collapsed="false">
      <c r="A41" s="164" t="s">
        <v>494</v>
      </c>
      <c r="B41" s="165" t="s">
        <v>495</v>
      </c>
      <c r="C41" s="165" t="s">
        <v>16</v>
      </c>
      <c r="D41" s="164" t="s">
        <v>1947</v>
      </c>
      <c r="E41" s="172" t="n">
        <v>1</v>
      </c>
      <c r="F41" s="164"/>
    </row>
    <row r="42" customFormat="false" ht="15" hidden="false" customHeight="false" outlineLevel="0" collapsed="false">
      <c r="A42" s="168" t="s">
        <v>494</v>
      </c>
      <c r="B42" s="169" t="s">
        <v>495</v>
      </c>
      <c r="C42" s="169" t="s">
        <v>16</v>
      </c>
      <c r="D42" s="168" t="s">
        <v>1948</v>
      </c>
      <c r="E42" s="173" t="n">
        <v>0.9</v>
      </c>
      <c r="F42" s="168"/>
    </row>
    <row r="43" customFormat="false" ht="15" hidden="false" customHeight="false" outlineLevel="0" collapsed="false">
      <c r="A43" s="164" t="s">
        <v>494</v>
      </c>
      <c r="B43" s="165" t="s">
        <v>495</v>
      </c>
      <c r="C43" s="165" t="s">
        <v>16</v>
      </c>
      <c r="D43" s="164" t="s">
        <v>1949</v>
      </c>
      <c r="E43" s="172" t="n">
        <v>0.95</v>
      </c>
      <c r="F43" s="164"/>
    </row>
    <row r="44" customFormat="false" ht="15" hidden="false" customHeight="false" outlineLevel="0" collapsed="false">
      <c r="A44" s="168" t="s">
        <v>494</v>
      </c>
      <c r="B44" s="169" t="s">
        <v>495</v>
      </c>
      <c r="C44" s="169" t="s">
        <v>16</v>
      </c>
      <c r="D44" s="168" t="s">
        <v>1950</v>
      </c>
      <c r="E44" s="173" t="n">
        <v>0.9</v>
      </c>
      <c r="F44" s="168"/>
    </row>
    <row r="45" customFormat="false" ht="15" hidden="false" customHeight="false" outlineLevel="0" collapsed="false">
      <c r="A45" s="164" t="s">
        <v>496</v>
      </c>
      <c r="B45" s="165" t="s">
        <v>114</v>
      </c>
      <c r="C45" s="165" t="s">
        <v>16</v>
      </c>
      <c r="D45" s="164" t="s">
        <v>1946</v>
      </c>
      <c r="E45" s="172" t="n">
        <v>1</v>
      </c>
      <c r="F45" s="164"/>
    </row>
    <row r="46" customFormat="false" ht="15" hidden="false" customHeight="false" outlineLevel="0" collapsed="false">
      <c r="A46" s="168" t="s">
        <v>496</v>
      </c>
      <c r="B46" s="169" t="s">
        <v>114</v>
      </c>
      <c r="C46" s="169" t="s">
        <v>16</v>
      </c>
      <c r="D46" s="168" t="s">
        <v>1947</v>
      </c>
      <c r="E46" s="173" t="n">
        <v>0.9</v>
      </c>
      <c r="F46" s="168"/>
    </row>
    <row r="47" customFormat="false" ht="15" hidden="false" customHeight="false" outlineLevel="0" collapsed="false">
      <c r="A47" s="164" t="s">
        <v>496</v>
      </c>
      <c r="B47" s="165" t="s">
        <v>114</v>
      </c>
      <c r="C47" s="165" t="s">
        <v>16</v>
      </c>
      <c r="D47" s="164" t="s">
        <v>1948</v>
      </c>
      <c r="E47" s="172" t="n">
        <v>1</v>
      </c>
      <c r="F47" s="164"/>
    </row>
    <row r="48" customFormat="false" ht="15" hidden="false" customHeight="false" outlineLevel="0" collapsed="false">
      <c r="A48" s="168" t="s">
        <v>496</v>
      </c>
      <c r="B48" s="169" t="s">
        <v>114</v>
      </c>
      <c r="C48" s="169" t="s">
        <v>16</v>
      </c>
      <c r="D48" s="168" t="s">
        <v>1949</v>
      </c>
      <c r="E48" s="173" t="n">
        <v>0.95</v>
      </c>
      <c r="F48" s="168"/>
    </row>
    <row r="49" customFormat="false" ht="15" hidden="false" customHeight="false" outlineLevel="0" collapsed="false">
      <c r="A49" s="164" t="s">
        <v>496</v>
      </c>
      <c r="B49" s="165" t="s">
        <v>114</v>
      </c>
      <c r="C49" s="165" t="s">
        <v>16</v>
      </c>
      <c r="D49" s="164" t="s">
        <v>1950</v>
      </c>
      <c r="E49" s="172" t="n">
        <v>1</v>
      </c>
      <c r="F49" s="164"/>
    </row>
    <row r="50" customFormat="false" ht="15" hidden="false" customHeight="false" outlineLevel="0" collapsed="false">
      <c r="A50" s="168" t="s">
        <v>497</v>
      </c>
      <c r="B50" s="169" t="s">
        <v>498</v>
      </c>
      <c r="C50" s="169" t="s">
        <v>20</v>
      </c>
      <c r="D50" s="168" t="s">
        <v>1946</v>
      </c>
      <c r="E50" s="173" t="n">
        <v>1</v>
      </c>
      <c r="F50" s="168"/>
    </row>
    <row r="51" customFormat="false" ht="15" hidden="false" customHeight="false" outlineLevel="0" collapsed="false">
      <c r="A51" s="164" t="s">
        <v>497</v>
      </c>
      <c r="B51" s="165" t="s">
        <v>498</v>
      </c>
      <c r="C51" s="165" t="s">
        <v>20</v>
      </c>
      <c r="D51" s="164" t="s">
        <v>1947</v>
      </c>
      <c r="E51" s="172" t="n">
        <v>1</v>
      </c>
      <c r="F51" s="164"/>
    </row>
    <row r="52" customFormat="false" ht="15" hidden="false" customHeight="false" outlineLevel="0" collapsed="false">
      <c r="A52" s="168" t="s">
        <v>497</v>
      </c>
      <c r="B52" s="169" t="s">
        <v>498</v>
      </c>
      <c r="C52" s="169" t="s">
        <v>20</v>
      </c>
      <c r="D52" s="168" t="s">
        <v>1948</v>
      </c>
      <c r="E52" s="173" t="n">
        <v>1</v>
      </c>
      <c r="F52" s="168"/>
    </row>
    <row r="53" customFormat="false" ht="15" hidden="false" customHeight="false" outlineLevel="0" collapsed="false">
      <c r="A53" s="164" t="s">
        <v>497</v>
      </c>
      <c r="B53" s="165" t="s">
        <v>498</v>
      </c>
      <c r="C53" s="165" t="s">
        <v>20</v>
      </c>
      <c r="D53" s="164" t="s">
        <v>1949</v>
      </c>
      <c r="E53" s="172" t="n">
        <v>1</v>
      </c>
      <c r="F53" s="164"/>
    </row>
    <row r="54" customFormat="false" ht="15" hidden="false" customHeight="false" outlineLevel="0" collapsed="false">
      <c r="A54" s="168" t="s">
        <v>497</v>
      </c>
      <c r="B54" s="169" t="s">
        <v>498</v>
      </c>
      <c r="C54" s="169" t="s">
        <v>20</v>
      </c>
      <c r="D54" s="168" t="s">
        <v>1950</v>
      </c>
      <c r="E54" s="173" t="n">
        <v>1</v>
      </c>
      <c r="F54" s="168"/>
    </row>
    <row r="55" customFormat="false" ht="15" hidden="false" customHeight="false" outlineLevel="0" collapsed="false">
      <c r="A55" s="164" t="s">
        <v>499</v>
      </c>
      <c r="B55" s="165" t="s">
        <v>500</v>
      </c>
      <c r="C55" s="165" t="s">
        <v>20</v>
      </c>
      <c r="D55" s="164" t="s">
        <v>1946</v>
      </c>
      <c r="E55" s="172" t="n">
        <v>1</v>
      </c>
      <c r="F55" s="164"/>
    </row>
    <row r="56" customFormat="false" ht="15" hidden="false" customHeight="false" outlineLevel="0" collapsed="false">
      <c r="A56" s="168" t="s">
        <v>499</v>
      </c>
      <c r="B56" s="169" t="s">
        <v>500</v>
      </c>
      <c r="C56" s="169" t="s">
        <v>20</v>
      </c>
      <c r="D56" s="168" t="s">
        <v>1947</v>
      </c>
      <c r="E56" s="173" t="n">
        <v>1</v>
      </c>
      <c r="F56" s="168"/>
    </row>
    <row r="57" customFormat="false" ht="15" hidden="false" customHeight="false" outlineLevel="0" collapsed="false">
      <c r="A57" s="164" t="s">
        <v>499</v>
      </c>
      <c r="B57" s="165" t="s">
        <v>500</v>
      </c>
      <c r="C57" s="165" t="s">
        <v>20</v>
      </c>
      <c r="D57" s="164" t="s">
        <v>1948</v>
      </c>
      <c r="E57" s="172" t="n">
        <v>1</v>
      </c>
      <c r="F57" s="164"/>
    </row>
    <row r="58" customFormat="false" ht="15" hidden="false" customHeight="false" outlineLevel="0" collapsed="false">
      <c r="A58" s="168" t="s">
        <v>499</v>
      </c>
      <c r="B58" s="169" t="s">
        <v>500</v>
      </c>
      <c r="C58" s="169" t="s">
        <v>20</v>
      </c>
      <c r="D58" s="168" t="s">
        <v>1949</v>
      </c>
      <c r="E58" s="173" t="n">
        <v>0.95</v>
      </c>
      <c r="F58" s="168"/>
    </row>
    <row r="59" customFormat="false" ht="15" hidden="false" customHeight="false" outlineLevel="0" collapsed="false">
      <c r="A59" s="164" t="s">
        <v>499</v>
      </c>
      <c r="B59" s="165" t="s">
        <v>500</v>
      </c>
      <c r="C59" s="165" t="s">
        <v>20</v>
      </c>
      <c r="D59" s="164" t="s">
        <v>1950</v>
      </c>
      <c r="E59" s="172" t="n">
        <v>1</v>
      </c>
      <c r="F59" s="164"/>
    </row>
    <row r="60" customFormat="false" ht="15" hidden="false" customHeight="false" outlineLevel="0" collapsed="false">
      <c r="A60" s="168" t="s">
        <v>501</v>
      </c>
      <c r="B60" s="169" t="s">
        <v>502</v>
      </c>
      <c r="C60" s="169" t="s">
        <v>21</v>
      </c>
      <c r="D60" s="168" t="s">
        <v>1946</v>
      </c>
      <c r="E60" s="173" t="n">
        <v>1</v>
      </c>
      <c r="F60" s="168"/>
    </row>
    <row r="61" customFormat="false" ht="15" hidden="false" customHeight="false" outlineLevel="0" collapsed="false">
      <c r="A61" s="164" t="s">
        <v>501</v>
      </c>
      <c r="B61" s="165" t="s">
        <v>502</v>
      </c>
      <c r="C61" s="165" t="s">
        <v>21</v>
      </c>
      <c r="D61" s="164" t="s">
        <v>1947</v>
      </c>
      <c r="E61" s="172" t="n">
        <v>0.95</v>
      </c>
      <c r="F61" s="164"/>
    </row>
    <row r="62" customFormat="false" ht="15" hidden="false" customHeight="false" outlineLevel="0" collapsed="false">
      <c r="A62" s="168" t="s">
        <v>501</v>
      </c>
      <c r="B62" s="169" t="s">
        <v>502</v>
      </c>
      <c r="C62" s="169" t="s">
        <v>21</v>
      </c>
      <c r="D62" s="168" t="s">
        <v>1948</v>
      </c>
      <c r="E62" s="173" t="n">
        <v>1</v>
      </c>
      <c r="F62" s="168"/>
    </row>
    <row r="63" customFormat="false" ht="15" hidden="false" customHeight="false" outlineLevel="0" collapsed="false">
      <c r="A63" s="164" t="s">
        <v>501</v>
      </c>
      <c r="B63" s="165" t="s">
        <v>502</v>
      </c>
      <c r="C63" s="165" t="s">
        <v>21</v>
      </c>
      <c r="D63" s="164" t="s">
        <v>1949</v>
      </c>
      <c r="E63" s="172" t="n">
        <v>0.95</v>
      </c>
      <c r="F63" s="164"/>
    </row>
    <row r="64" customFormat="false" ht="15" hidden="false" customHeight="false" outlineLevel="0" collapsed="false">
      <c r="A64" s="168" t="s">
        <v>501</v>
      </c>
      <c r="B64" s="169" t="s">
        <v>502</v>
      </c>
      <c r="C64" s="169" t="s">
        <v>21</v>
      </c>
      <c r="D64" s="168" t="s">
        <v>1950</v>
      </c>
      <c r="E64" s="173" t="n">
        <v>1</v>
      </c>
      <c r="F64" s="168"/>
    </row>
    <row r="65" customFormat="false" ht="15" hidden="false" customHeight="false" outlineLevel="0" collapsed="false">
      <c r="A65" s="164" t="s">
        <v>503</v>
      </c>
      <c r="B65" s="165" t="s">
        <v>504</v>
      </c>
      <c r="C65" s="165" t="s">
        <v>21</v>
      </c>
      <c r="D65" s="164" t="s">
        <v>1946</v>
      </c>
      <c r="E65" s="172" t="n">
        <v>1</v>
      </c>
      <c r="F65" s="164"/>
    </row>
    <row r="66" customFormat="false" ht="15" hidden="false" customHeight="false" outlineLevel="0" collapsed="false">
      <c r="A66" s="168" t="s">
        <v>503</v>
      </c>
      <c r="B66" s="169" t="s">
        <v>504</v>
      </c>
      <c r="C66" s="169" t="s">
        <v>21</v>
      </c>
      <c r="D66" s="168" t="s">
        <v>1947</v>
      </c>
      <c r="E66" s="173" t="n">
        <v>1</v>
      </c>
      <c r="F66" s="168"/>
    </row>
    <row r="67" customFormat="false" ht="15" hidden="false" customHeight="false" outlineLevel="0" collapsed="false">
      <c r="A67" s="164" t="s">
        <v>503</v>
      </c>
      <c r="B67" s="165" t="s">
        <v>504</v>
      </c>
      <c r="C67" s="165" t="s">
        <v>21</v>
      </c>
      <c r="D67" s="164" t="s">
        <v>1948</v>
      </c>
      <c r="E67" s="172" t="n">
        <v>0.95</v>
      </c>
      <c r="F67" s="164"/>
    </row>
    <row r="68" customFormat="false" ht="15" hidden="false" customHeight="false" outlineLevel="0" collapsed="false">
      <c r="A68" s="168" t="s">
        <v>503</v>
      </c>
      <c r="B68" s="169" t="s">
        <v>504</v>
      </c>
      <c r="C68" s="169" t="s">
        <v>21</v>
      </c>
      <c r="D68" s="168" t="s">
        <v>1949</v>
      </c>
      <c r="E68" s="173" t="n">
        <v>0.9</v>
      </c>
      <c r="F68" s="168"/>
    </row>
    <row r="69" customFormat="false" ht="15" hidden="false" customHeight="false" outlineLevel="0" collapsed="false">
      <c r="A69" s="164" t="s">
        <v>503</v>
      </c>
      <c r="B69" s="165" t="s">
        <v>504</v>
      </c>
      <c r="C69" s="165" t="s">
        <v>21</v>
      </c>
      <c r="D69" s="164" t="s">
        <v>1950</v>
      </c>
      <c r="E69" s="172" t="n">
        <v>1</v>
      </c>
      <c r="F69" s="164"/>
    </row>
    <row r="70" customFormat="false" ht="15" hidden="false" customHeight="false" outlineLevel="0" collapsed="false">
      <c r="A70" s="168" t="s">
        <v>505</v>
      </c>
      <c r="B70" s="169" t="s">
        <v>126</v>
      </c>
      <c r="C70" s="169" t="s">
        <v>22</v>
      </c>
      <c r="D70" s="168" t="s">
        <v>1946</v>
      </c>
      <c r="E70" s="173" t="n">
        <v>1</v>
      </c>
      <c r="F70" s="168"/>
    </row>
    <row r="71" customFormat="false" ht="15" hidden="false" customHeight="false" outlineLevel="0" collapsed="false">
      <c r="A71" s="164" t="s">
        <v>505</v>
      </c>
      <c r="B71" s="165" t="s">
        <v>126</v>
      </c>
      <c r="C71" s="165" t="s">
        <v>22</v>
      </c>
      <c r="D71" s="164" t="s">
        <v>1947</v>
      </c>
      <c r="E71" s="172" t="n">
        <v>1</v>
      </c>
      <c r="F71" s="164"/>
    </row>
    <row r="72" customFormat="false" ht="15" hidden="false" customHeight="false" outlineLevel="0" collapsed="false">
      <c r="A72" s="168" t="s">
        <v>505</v>
      </c>
      <c r="B72" s="169" t="s">
        <v>126</v>
      </c>
      <c r="C72" s="169" t="s">
        <v>22</v>
      </c>
      <c r="D72" s="168" t="s">
        <v>1948</v>
      </c>
      <c r="E72" s="173" t="n">
        <v>1</v>
      </c>
      <c r="F72" s="168"/>
    </row>
    <row r="73" customFormat="false" ht="15" hidden="false" customHeight="false" outlineLevel="0" collapsed="false">
      <c r="A73" s="164" t="s">
        <v>505</v>
      </c>
      <c r="B73" s="165" t="s">
        <v>126</v>
      </c>
      <c r="C73" s="165" t="s">
        <v>22</v>
      </c>
      <c r="D73" s="164" t="s">
        <v>1949</v>
      </c>
      <c r="E73" s="172" t="n">
        <v>1</v>
      </c>
      <c r="F73" s="164"/>
    </row>
    <row r="74" customFormat="false" ht="15" hidden="false" customHeight="false" outlineLevel="0" collapsed="false">
      <c r="A74" s="168" t="s">
        <v>505</v>
      </c>
      <c r="B74" s="169" t="s">
        <v>126</v>
      </c>
      <c r="C74" s="169" t="s">
        <v>22</v>
      </c>
      <c r="D74" s="168" t="s">
        <v>1950</v>
      </c>
      <c r="E74" s="173" t="n">
        <v>0.9</v>
      </c>
      <c r="F74" s="168"/>
    </row>
    <row r="75" customFormat="false" ht="15" hidden="false" customHeight="false" outlineLevel="0" collapsed="false">
      <c r="A75" s="164" t="s">
        <v>506</v>
      </c>
      <c r="B75" s="165" t="s">
        <v>504</v>
      </c>
      <c r="C75" s="165" t="s">
        <v>23</v>
      </c>
      <c r="D75" s="164" t="s">
        <v>1946</v>
      </c>
      <c r="E75" s="172" t="n">
        <v>1</v>
      </c>
      <c r="F75" s="164"/>
    </row>
    <row r="76" customFormat="false" ht="15" hidden="false" customHeight="false" outlineLevel="0" collapsed="false">
      <c r="A76" s="168" t="s">
        <v>506</v>
      </c>
      <c r="B76" s="169" t="s">
        <v>504</v>
      </c>
      <c r="C76" s="169" t="s">
        <v>23</v>
      </c>
      <c r="D76" s="168" t="s">
        <v>1947</v>
      </c>
      <c r="E76" s="173" t="n">
        <v>1</v>
      </c>
      <c r="F76" s="168"/>
    </row>
    <row r="77" customFormat="false" ht="15" hidden="false" customHeight="false" outlineLevel="0" collapsed="false">
      <c r="A77" s="164" t="s">
        <v>506</v>
      </c>
      <c r="B77" s="165" t="s">
        <v>504</v>
      </c>
      <c r="C77" s="165" t="s">
        <v>23</v>
      </c>
      <c r="D77" s="164" t="s">
        <v>1948</v>
      </c>
      <c r="E77" s="172" t="n">
        <v>1</v>
      </c>
      <c r="F77" s="164"/>
    </row>
    <row r="78" customFormat="false" ht="15" hidden="false" customHeight="false" outlineLevel="0" collapsed="false">
      <c r="A78" s="168" t="s">
        <v>506</v>
      </c>
      <c r="B78" s="169" t="s">
        <v>504</v>
      </c>
      <c r="C78" s="169" t="s">
        <v>23</v>
      </c>
      <c r="D78" s="168" t="s">
        <v>1949</v>
      </c>
      <c r="E78" s="173" t="n">
        <v>1</v>
      </c>
      <c r="F78" s="168"/>
    </row>
    <row r="79" customFormat="false" ht="15" hidden="false" customHeight="false" outlineLevel="0" collapsed="false">
      <c r="A79" s="164" t="s">
        <v>506</v>
      </c>
      <c r="B79" s="165" t="s">
        <v>504</v>
      </c>
      <c r="C79" s="165" t="s">
        <v>23</v>
      </c>
      <c r="D79" s="164" t="s">
        <v>1950</v>
      </c>
      <c r="E79" s="172" t="n">
        <v>1</v>
      </c>
      <c r="F79" s="164"/>
    </row>
    <row r="80" customFormat="false" ht="15" hidden="false" customHeight="false" outlineLevel="0" collapsed="false">
      <c r="A80" s="168" t="s">
        <v>507</v>
      </c>
      <c r="B80" s="169" t="s">
        <v>508</v>
      </c>
      <c r="C80" s="169" t="s">
        <v>23</v>
      </c>
      <c r="D80" s="168" t="s">
        <v>1946</v>
      </c>
      <c r="E80" s="173" t="n">
        <v>1</v>
      </c>
      <c r="F80" s="168"/>
    </row>
    <row r="81" customFormat="false" ht="15" hidden="false" customHeight="false" outlineLevel="0" collapsed="false">
      <c r="A81" s="164" t="s">
        <v>507</v>
      </c>
      <c r="B81" s="165" t="s">
        <v>508</v>
      </c>
      <c r="C81" s="165" t="s">
        <v>23</v>
      </c>
      <c r="D81" s="164" t="s">
        <v>1947</v>
      </c>
      <c r="E81" s="172" t="n">
        <v>1</v>
      </c>
      <c r="F81" s="164"/>
    </row>
    <row r="82" customFormat="false" ht="15" hidden="false" customHeight="false" outlineLevel="0" collapsed="false">
      <c r="A82" s="168" t="s">
        <v>507</v>
      </c>
      <c r="B82" s="169" t="s">
        <v>508</v>
      </c>
      <c r="C82" s="169" t="s">
        <v>23</v>
      </c>
      <c r="D82" s="168" t="s">
        <v>1948</v>
      </c>
      <c r="E82" s="173" t="n">
        <v>0.95</v>
      </c>
      <c r="F82" s="168"/>
    </row>
    <row r="83" customFormat="false" ht="15" hidden="false" customHeight="false" outlineLevel="0" collapsed="false">
      <c r="A83" s="164" t="s">
        <v>507</v>
      </c>
      <c r="B83" s="165" t="s">
        <v>508</v>
      </c>
      <c r="C83" s="165" t="s">
        <v>23</v>
      </c>
      <c r="D83" s="164" t="s">
        <v>1949</v>
      </c>
      <c r="E83" s="172" t="n">
        <v>1</v>
      </c>
      <c r="F83" s="164"/>
    </row>
    <row r="84" customFormat="false" ht="15" hidden="false" customHeight="false" outlineLevel="0" collapsed="false">
      <c r="A84" s="168" t="s">
        <v>507</v>
      </c>
      <c r="B84" s="169" t="s">
        <v>508</v>
      </c>
      <c r="C84" s="169" t="s">
        <v>23</v>
      </c>
      <c r="D84" s="168" t="s">
        <v>1950</v>
      </c>
      <c r="E84" s="173" t="n">
        <v>1</v>
      </c>
      <c r="F84" s="168"/>
    </row>
    <row r="85" customFormat="false" ht="15" hidden="false" customHeight="false" outlineLevel="0" collapsed="false">
      <c r="A85" s="164" t="s">
        <v>86</v>
      </c>
      <c r="B85" s="165" t="s">
        <v>87</v>
      </c>
      <c r="C85" s="165" t="s">
        <v>15</v>
      </c>
      <c r="D85" s="164" t="s">
        <v>1946</v>
      </c>
      <c r="E85" s="172" t="n">
        <v>0.5</v>
      </c>
      <c r="F85" s="164"/>
    </row>
    <row r="86" customFormat="false" ht="15" hidden="false" customHeight="false" outlineLevel="0" collapsed="false">
      <c r="A86" s="168" t="s">
        <v>86</v>
      </c>
      <c r="B86" s="169" t="s">
        <v>87</v>
      </c>
      <c r="C86" s="169" t="s">
        <v>15</v>
      </c>
      <c r="D86" s="168" t="s">
        <v>1947</v>
      </c>
      <c r="E86" s="173" t="n">
        <v>0.5</v>
      </c>
      <c r="F86" s="168"/>
    </row>
    <row r="87" customFormat="false" ht="15" hidden="false" customHeight="false" outlineLevel="0" collapsed="false">
      <c r="A87" s="164" t="s">
        <v>86</v>
      </c>
      <c r="B87" s="165" t="s">
        <v>87</v>
      </c>
      <c r="C87" s="165" t="s">
        <v>15</v>
      </c>
      <c r="D87" s="164" t="s">
        <v>1948</v>
      </c>
      <c r="E87" s="172" t="n">
        <v>0.5</v>
      </c>
      <c r="F87" s="164"/>
    </row>
    <row r="88" customFormat="false" ht="15" hidden="false" customHeight="false" outlineLevel="0" collapsed="false">
      <c r="A88" s="168" t="s">
        <v>86</v>
      </c>
      <c r="B88" s="169" t="s">
        <v>87</v>
      </c>
      <c r="C88" s="169" t="s">
        <v>15</v>
      </c>
      <c r="D88" s="168" t="s">
        <v>1949</v>
      </c>
      <c r="E88" s="173" t="n">
        <v>0.5</v>
      </c>
      <c r="F88" s="168"/>
    </row>
    <row r="89" customFormat="false" ht="15" hidden="false" customHeight="false" outlineLevel="0" collapsed="false">
      <c r="A89" s="164" t="s">
        <v>86</v>
      </c>
      <c r="B89" s="165" t="s">
        <v>87</v>
      </c>
      <c r="C89" s="165" t="s">
        <v>15</v>
      </c>
      <c r="D89" s="164" t="s">
        <v>1950</v>
      </c>
      <c r="E89" s="172" t="n">
        <v>0.5</v>
      </c>
      <c r="F89" s="164"/>
    </row>
    <row r="90" customFormat="false" ht="15" hidden="false" customHeight="false" outlineLevel="0" collapsed="false">
      <c r="A90" s="168" t="s">
        <v>510</v>
      </c>
      <c r="B90" s="169" t="s">
        <v>511</v>
      </c>
      <c r="C90" s="169" t="s">
        <v>15</v>
      </c>
      <c r="D90" s="168" t="s">
        <v>1946</v>
      </c>
      <c r="E90" s="173" t="n">
        <v>0.5</v>
      </c>
      <c r="F90" s="168"/>
    </row>
    <row r="91" customFormat="false" ht="15" hidden="false" customHeight="false" outlineLevel="0" collapsed="false">
      <c r="A91" s="164" t="s">
        <v>510</v>
      </c>
      <c r="B91" s="165" t="s">
        <v>511</v>
      </c>
      <c r="C91" s="165" t="s">
        <v>15</v>
      </c>
      <c r="D91" s="164" t="s">
        <v>1947</v>
      </c>
      <c r="E91" s="172" t="n">
        <v>0.5</v>
      </c>
      <c r="F91" s="164"/>
    </row>
    <row r="92" customFormat="false" ht="15" hidden="false" customHeight="false" outlineLevel="0" collapsed="false">
      <c r="A92" s="168" t="s">
        <v>510</v>
      </c>
      <c r="B92" s="169" t="s">
        <v>511</v>
      </c>
      <c r="C92" s="169" t="s">
        <v>15</v>
      </c>
      <c r="D92" s="168" t="s">
        <v>1948</v>
      </c>
      <c r="E92" s="173" t="n">
        <v>0.5</v>
      </c>
      <c r="F92" s="168"/>
    </row>
    <row r="93" customFormat="false" ht="15" hidden="false" customHeight="false" outlineLevel="0" collapsed="false">
      <c r="A93" s="164" t="s">
        <v>510</v>
      </c>
      <c r="B93" s="165" t="s">
        <v>511</v>
      </c>
      <c r="C93" s="165" t="s">
        <v>15</v>
      </c>
      <c r="D93" s="164" t="s">
        <v>1949</v>
      </c>
      <c r="E93" s="172" t="n">
        <v>0.5</v>
      </c>
      <c r="F93" s="164"/>
    </row>
    <row r="94" customFormat="false" ht="15" hidden="false" customHeight="false" outlineLevel="0" collapsed="false">
      <c r="A94" s="168" t="s">
        <v>510</v>
      </c>
      <c r="B94" s="169" t="s">
        <v>511</v>
      </c>
      <c r="C94" s="169" t="s">
        <v>15</v>
      </c>
      <c r="D94" s="168" t="s">
        <v>1950</v>
      </c>
      <c r="E94" s="173" t="n">
        <v>0.55</v>
      </c>
      <c r="F94" s="168"/>
    </row>
    <row r="95" customFormat="false" ht="15" hidden="false" customHeight="false" outlineLevel="0" collapsed="false">
      <c r="A95" s="164" t="s">
        <v>82</v>
      </c>
      <c r="B95" s="165" t="s">
        <v>83</v>
      </c>
      <c r="C95" s="165" t="s">
        <v>16</v>
      </c>
      <c r="D95" s="164" t="s">
        <v>1946</v>
      </c>
      <c r="E95" s="172" t="n">
        <v>0.7</v>
      </c>
      <c r="F95" s="164"/>
    </row>
    <row r="96" customFormat="false" ht="15" hidden="false" customHeight="false" outlineLevel="0" collapsed="false">
      <c r="A96" s="168" t="s">
        <v>82</v>
      </c>
      <c r="B96" s="169" t="s">
        <v>83</v>
      </c>
      <c r="C96" s="169" t="s">
        <v>16</v>
      </c>
      <c r="D96" s="168" t="s">
        <v>1947</v>
      </c>
      <c r="E96" s="173" t="n">
        <v>0.75</v>
      </c>
      <c r="F96" s="168"/>
    </row>
    <row r="97" customFormat="false" ht="15" hidden="false" customHeight="false" outlineLevel="0" collapsed="false">
      <c r="A97" s="164" t="s">
        <v>82</v>
      </c>
      <c r="B97" s="165" t="s">
        <v>83</v>
      </c>
      <c r="C97" s="165" t="s">
        <v>16</v>
      </c>
      <c r="D97" s="164" t="s">
        <v>1948</v>
      </c>
      <c r="E97" s="172" t="n">
        <v>0.75</v>
      </c>
      <c r="F97" s="164"/>
    </row>
    <row r="98" customFormat="false" ht="15" hidden="false" customHeight="false" outlineLevel="0" collapsed="false">
      <c r="A98" s="168" t="s">
        <v>82</v>
      </c>
      <c r="B98" s="169" t="s">
        <v>83</v>
      </c>
      <c r="C98" s="169" t="s">
        <v>16</v>
      </c>
      <c r="D98" s="168" t="s">
        <v>1949</v>
      </c>
      <c r="E98" s="173" t="n">
        <v>0.7</v>
      </c>
      <c r="F98" s="168"/>
    </row>
    <row r="99" customFormat="false" ht="15" hidden="false" customHeight="false" outlineLevel="0" collapsed="false">
      <c r="A99" s="164" t="s">
        <v>82</v>
      </c>
      <c r="B99" s="165" t="s">
        <v>83</v>
      </c>
      <c r="C99" s="165" t="s">
        <v>16</v>
      </c>
      <c r="D99" s="164" t="s">
        <v>1950</v>
      </c>
      <c r="E99" s="172" t="n">
        <v>0.75</v>
      </c>
      <c r="F99" s="164"/>
    </row>
    <row r="100" customFormat="false" ht="15" hidden="false" customHeight="false" outlineLevel="0" collapsed="false">
      <c r="A100" s="168" t="s">
        <v>512</v>
      </c>
      <c r="B100" s="169" t="s">
        <v>513</v>
      </c>
      <c r="C100" s="169" t="s">
        <v>16</v>
      </c>
      <c r="D100" s="168" t="s">
        <v>1946</v>
      </c>
      <c r="E100" s="173" t="n">
        <v>0.65</v>
      </c>
      <c r="F100" s="168"/>
    </row>
    <row r="101" customFormat="false" ht="15" hidden="false" customHeight="false" outlineLevel="0" collapsed="false">
      <c r="A101" s="164" t="s">
        <v>512</v>
      </c>
      <c r="B101" s="165" t="s">
        <v>513</v>
      </c>
      <c r="C101" s="165" t="s">
        <v>16</v>
      </c>
      <c r="D101" s="164" t="s">
        <v>1947</v>
      </c>
      <c r="E101" s="172" t="n">
        <v>0.75</v>
      </c>
      <c r="F101" s="164"/>
    </row>
    <row r="102" customFormat="false" ht="15" hidden="false" customHeight="false" outlineLevel="0" collapsed="false">
      <c r="A102" s="168" t="s">
        <v>512</v>
      </c>
      <c r="B102" s="169" t="s">
        <v>513</v>
      </c>
      <c r="C102" s="169" t="s">
        <v>16</v>
      </c>
      <c r="D102" s="168" t="s">
        <v>1948</v>
      </c>
      <c r="E102" s="173" t="n">
        <v>0.8</v>
      </c>
      <c r="F102" s="168"/>
    </row>
    <row r="103" customFormat="false" ht="15" hidden="false" customHeight="false" outlineLevel="0" collapsed="false">
      <c r="A103" s="164" t="s">
        <v>512</v>
      </c>
      <c r="B103" s="165" t="s">
        <v>513</v>
      </c>
      <c r="C103" s="165" t="s">
        <v>16</v>
      </c>
      <c r="D103" s="164" t="s">
        <v>1949</v>
      </c>
      <c r="E103" s="172" t="n">
        <v>0.75</v>
      </c>
      <c r="F103" s="164"/>
    </row>
    <row r="104" customFormat="false" ht="15" hidden="false" customHeight="false" outlineLevel="0" collapsed="false">
      <c r="A104" s="168" t="s">
        <v>512</v>
      </c>
      <c r="B104" s="169" t="s">
        <v>513</v>
      </c>
      <c r="C104" s="169" t="s">
        <v>16</v>
      </c>
      <c r="D104" s="168" t="s">
        <v>1950</v>
      </c>
      <c r="E104" s="173" t="n">
        <v>0.8</v>
      </c>
      <c r="F104" s="168"/>
    </row>
    <row r="105" customFormat="false" ht="15" hidden="false" customHeight="false" outlineLevel="0" collapsed="false">
      <c r="A105" s="164" t="s">
        <v>514</v>
      </c>
      <c r="B105" s="165" t="s">
        <v>515</v>
      </c>
      <c r="C105" s="165" t="s">
        <v>16</v>
      </c>
      <c r="D105" s="164" t="s">
        <v>1946</v>
      </c>
      <c r="E105" s="172" t="n">
        <v>1</v>
      </c>
      <c r="F105" s="164"/>
    </row>
    <row r="106" customFormat="false" ht="15" hidden="false" customHeight="false" outlineLevel="0" collapsed="false">
      <c r="A106" s="168" t="s">
        <v>514</v>
      </c>
      <c r="B106" s="169" t="s">
        <v>515</v>
      </c>
      <c r="C106" s="169" t="s">
        <v>16</v>
      </c>
      <c r="D106" s="168" t="s">
        <v>1947</v>
      </c>
      <c r="E106" s="173" t="n">
        <v>1</v>
      </c>
      <c r="F106" s="168"/>
    </row>
    <row r="107" customFormat="false" ht="15" hidden="false" customHeight="false" outlineLevel="0" collapsed="false">
      <c r="A107" s="164" t="s">
        <v>514</v>
      </c>
      <c r="B107" s="165" t="s">
        <v>515</v>
      </c>
      <c r="C107" s="165" t="s">
        <v>16</v>
      </c>
      <c r="D107" s="164" t="s">
        <v>1948</v>
      </c>
      <c r="E107" s="172" t="n">
        <v>1</v>
      </c>
      <c r="F107" s="164"/>
    </row>
    <row r="108" customFormat="false" ht="15" hidden="false" customHeight="false" outlineLevel="0" collapsed="false">
      <c r="A108" s="168" t="s">
        <v>514</v>
      </c>
      <c r="B108" s="169" t="s">
        <v>515</v>
      </c>
      <c r="C108" s="169" t="s">
        <v>16</v>
      </c>
      <c r="D108" s="168" t="s">
        <v>1949</v>
      </c>
      <c r="E108" s="173" t="n">
        <v>1</v>
      </c>
      <c r="F108" s="168"/>
    </row>
    <row r="109" customFormat="false" ht="15" hidden="false" customHeight="false" outlineLevel="0" collapsed="false">
      <c r="A109" s="164" t="s">
        <v>514</v>
      </c>
      <c r="B109" s="165" t="s">
        <v>515</v>
      </c>
      <c r="C109" s="165" t="s">
        <v>16</v>
      </c>
      <c r="D109" s="164" t="s">
        <v>1950</v>
      </c>
      <c r="E109" s="172" t="n">
        <v>0.95</v>
      </c>
      <c r="F109" s="164"/>
    </row>
    <row r="110" customFormat="false" ht="15" hidden="false" customHeight="false" outlineLevel="0" collapsed="false">
      <c r="A110" s="168" t="s">
        <v>516</v>
      </c>
      <c r="B110" s="169" t="s">
        <v>517</v>
      </c>
      <c r="C110" s="169" t="s">
        <v>16</v>
      </c>
      <c r="D110" s="168" t="s">
        <v>1946</v>
      </c>
      <c r="E110" s="173" t="n">
        <v>1</v>
      </c>
      <c r="F110" s="168"/>
    </row>
    <row r="111" customFormat="false" ht="15" hidden="false" customHeight="false" outlineLevel="0" collapsed="false">
      <c r="A111" s="164" t="s">
        <v>516</v>
      </c>
      <c r="B111" s="165" t="s">
        <v>517</v>
      </c>
      <c r="C111" s="165" t="s">
        <v>16</v>
      </c>
      <c r="D111" s="164" t="s">
        <v>1947</v>
      </c>
      <c r="E111" s="172" t="n">
        <v>0.9</v>
      </c>
      <c r="F111" s="164"/>
    </row>
    <row r="112" customFormat="false" ht="15" hidden="false" customHeight="false" outlineLevel="0" collapsed="false">
      <c r="A112" s="168" t="s">
        <v>516</v>
      </c>
      <c r="B112" s="169" t="s">
        <v>517</v>
      </c>
      <c r="C112" s="169" t="s">
        <v>16</v>
      </c>
      <c r="D112" s="168" t="s">
        <v>1948</v>
      </c>
      <c r="E112" s="173" t="n">
        <v>0.95</v>
      </c>
      <c r="F112" s="168"/>
    </row>
    <row r="113" customFormat="false" ht="15" hidden="false" customHeight="false" outlineLevel="0" collapsed="false">
      <c r="A113" s="164" t="s">
        <v>516</v>
      </c>
      <c r="B113" s="165" t="s">
        <v>517</v>
      </c>
      <c r="C113" s="165" t="s">
        <v>16</v>
      </c>
      <c r="D113" s="164" t="s">
        <v>1949</v>
      </c>
      <c r="E113" s="172" t="n">
        <v>1</v>
      </c>
      <c r="F113" s="164"/>
    </row>
    <row r="114" customFormat="false" ht="15" hidden="false" customHeight="false" outlineLevel="0" collapsed="false">
      <c r="A114" s="168" t="s">
        <v>516</v>
      </c>
      <c r="B114" s="169" t="s">
        <v>517</v>
      </c>
      <c r="C114" s="169" t="s">
        <v>16</v>
      </c>
      <c r="D114" s="168" t="s">
        <v>1950</v>
      </c>
      <c r="E114" s="173" t="n">
        <v>1</v>
      </c>
      <c r="F114" s="168"/>
    </row>
    <row r="115" customFormat="false" ht="15" hidden="false" customHeight="false" outlineLevel="0" collapsed="false">
      <c r="A115" s="164" t="s">
        <v>519</v>
      </c>
      <c r="B115" s="165" t="s">
        <v>520</v>
      </c>
      <c r="C115" s="165" t="s">
        <v>16</v>
      </c>
      <c r="D115" s="164" t="s">
        <v>1946</v>
      </c>
      <c r="E115" s="172" t="n">
        <v>1</v>
      </c>
      <c r="F115" s="166" t="n">
        <v>46062</v>
      </c>
    </row>
    <row r="116" customFormat="false" ht="15" hidden="false" customHeight="false" outlineLevel="0" collapsed="false">
      <c r="A116" s="168" t="s">
        <v>519</v>
      </c>
      <c r="B116" s="169" t="s">
        <v>520</v>
      </c>
      <c r="C116" s="169" t="s">
        <v>16</v>
      </c>
      <c r="D116" s="168" t="s">
        <v>1947</v>
      </c>
      <c r="E116" s="173" t="n">
        <v>1</v>
      </c>
      <c r="F116" s="170" t="n">
        <v>46062</v>
      </c>
    </row>
    <row r="117" customFormat="false" ht="15" hidden="false" customHeight="false" outlineLevel="0" collapsed="false">
      <c r="A117" s="164" t="s">
        <v>519</v>
      </c>
      <c r="B117" s="165" t="s">
        <v>520</v>
      </c>
      <c r="C117" s="165" t="s">
        <v>16</v>
      </c>
      <c r="D117" s="164" t="s">
        <v>1948</v>
      </c>
      <c r="E117" s="172" t="n">
        <v>1</v>
      </c>
      <c r="F117" s="166" t="n">
        <v>46062</v>
      </c>
    </row>
    <row r="118" customFormat="false" ht="15" hidden="false" customHeight="false" outlineLevel="0" collapsed="false">
      <c r="A118" s="168" t="s">
        <v>519</v>
      </c>
      <c r="B118" s="169" t="s">
        <v>520</v>
      </c>
      <c r="C118" s="169" t="s">
        <v>16</v>
      </c>
      <c r="D118" s="168" t="s">
        <v>1949</v>
      </c>
      <c r="E118" s="173" t="n">
        <v>1</v>
      </c>
      <c r="F118" s="170" t="n">
        <v>46062</v>
      </c>
    </row>
    <row r="119" customFormat="false" ht="15" hidden="false" customHeight="false" outlineLevel="0" collapsed="false">
      <c r="A119" s="164" t="s">
        <v>519</v>
      </c>
      <c r="B119" s="165" t="s">
        <v>520</v>
      </c>
      <c r="C119" s="165" t="s">
        <v>16</v>
      </c>
      <c r="D119" s="164" t="s">
        <v>1950</v>
      </c>
      <c r="E119" s="172" t="n">
        <v>1</v>
      </c>
      <c r="F119" s="166" t="n">
        <v>46062</v>
      </c>
    </row>
    <row r="120" customFormat="false" ht="15" hidden="false" customHeight="false" outlineLevel="0" collapsed="false">
      <c r="A120" s="168" t="s">
        <v>96</v>
      </c>
      <c r="B120" s="169" t="s">
        <v>97</v>
      </c>
      <c r="C120" s="169" t="s">
        <v>20</v>
      </c>
      <c r="D120" s="168" t="s">
        <v>1946</v>
      </c>
      <c r="E120" s="173" t="n">
        <v>0.75</v>
      </c>
      <c r="F120" s="168"/>
    </row>
    <row r="121" customFormat="false" ht="15" hidden="false" customHeight="false" outlineLevel="0" collapsed="false">
      <c r="A121" s="164" t="s">
        <v>96</v>
      </c>
      <c r="B121" s="165" t="s">
        <v>97</v>
      </c>
      <c r="C121" s="165" t="s">
        <v>20</v>
      </c>
      <c r="D121" s="164" t="s">
        <v>1947</v>
      </c>
      <c r="E121" s="172" t="n">
        <v>0.65</v>
      </c>
      <c r="F121" s="164"/>
    </row>
    <row r="122" customFormat="false" ht="15" hidden="false" customHeight="false" outlineLevel="0" collapsed="false">
      <c r="A122" s="168" t="s">
        <v>96</v>
      </c>
      <c r="B122" s="169" t="s">
        <v>97</v>
      </c>
      <c r="C122" s="169" t="s">
        <v>20</v>
      </c>
      <c r="D122" s="168" t="s">
        <v>1948</v>
      </c>
      <c r="E122" s="173" t="n">
        <v>0.75</v>
      </c>
      <c r="F122" s="168"/>
    </row>
    <row r="123" customFormat="false" ht="15" hidden="false" customHeight="false" outlineLevel="0" collapsed="false">
      <c r="A123" s="164" t="s">
        <v>96</v>
      </c>
      <c r="B123" s="165" t="s">
        <v>97</v>
      </c>
      <c r="C123" s="165" t="s">
        <v>20</v>
      </c>
      <c r="D123" s="164" t="s">
        <v>1949</v>
      </c>
      <c r="E123" s="172" t="n">
        <v>0.65</v>
      </c>
      <c r="F123" s="164"/>
    </row>
    <row r="124" customFormat="false" ht="15" hidden="false" customHeight="false" outlineLevel="0" collapsed="false">
      <c r="A124" s="168" t="s">
        <v>96</v>
      </c>
      <c r="B124" s="169" t="s">
        <v>97</v>
      </c>
      <c r="C124" s="169" t="s">
        <v>20</v>
      </c>
      <c r="D124" s="168" t="s">
        <v>1950</v>
      </c>
      <c r="E124" s="173" t="n">
        <v>0.75</v>
      </c>
      <c r="F124" s="168"/>
    </row>
    <row r="125" customFormat="false" ht="15" hidden="false" customHeight="false" outlineLevel="0" collapsed="false">
      <c r="A125" s="164" t="s">
        <v>521</v>
      </c>
      <c r="B125" s="165" t="s">
        <v>522</v>
      </c>
      <c r="C125" s="165" t="s">
        <v>20</v>
      </c>
      <c r="D125" s="164" t="s">
        <v>1946</v>
      </c>
      <c r="E125" s="172" t="n">
        <v>1</v>
      </c>
      <c r="F125" s="164"/>
    </row>
    <row r="126" customFormat="false" ht="15" hidden="false" customHeight="false" outlineLevel="0" collapsed="false">
      <c r="A126" s="168" t="s">
        <v>521</v>
      </c>
      <c r="B126" s="169" t="s">
        <v>522</v>
      </c>
      <c r="C126" s="169" t="s">
        <v>20</v>
      </c>
      <c r="D126" s="168" t="s">
        <v>1947</v>
      </c>
      <c r="E126" s="173" t="n">
        <v>0.9</v>
      </c>
      <c r="F126" s="168"/>
    </row>
    <row r="127" customFormat="false" ht="15" hidden="false" customHeight="false" outlineLevel="0" collapsed="false">
      <c r="A127" s="164" t="s">
        <v>521</v>
      </c>
      <c r="B127" s="165" t="s">
        <v>522</v>
      </c>
      <c r="C127" s="165" t="s">
        <v>20</v>
      </c>
      <c r="D127" s="164" t="s">
        <v>1948</v>
      </c>
      <c r="E127" s="172" t="n">
        <v>1</v>
      </c>
      <c r="F127" s="164"/>
    </row>
    <row r="128" customFormat="false" ht="15" hidden="false" customHeight="false" outlineLevel="0" collapsed="false">
      <c r="A128" s="168" t="s">
        <v>521</v>
      </c>
      <c r="B128" s="169" t="s">
        <v>522</v>
      </c>
      <c r="C128" s="169" t="s">
        <v>20</v>
      </c>
      <c r="D128" s="168" t="s">
        <v>1949</v>
      </c>
      <c r="E128" s="173" t="n">
        <v>0.95</v>
      </c>
      <c r="F128" s="168"/>
    </row>
    <row r="129" customFormat="false" ht="15" hidden="false" customHeight="false" outlineLevel="0" collapsed="false">
      <c r="A129" s="164" t="s">
        <v>521</v>
      </c>
      <c r="B129" s="165" t="s">
        <v>522</v>
      </c>
      <c r="C129" s="165" t="s">
        <v>20</v>
      </c>
      <c r="D129" s="164" t="s">
        <v>1950</v>
      </c>
      <c r="E129" s="172" t="n">
        <v>1</v>
      </c>
      <c r="F129" s="164"/>
    </row>
    <row r="130" customFormat="false" ht="15" hidden="false" customHeight="false" outlineLevel="0" collapsed="false">
      <c r="A130" s="168" t="s">
        <v>523</v>
      </c>
      <c r="B130" s="169" t="s">
        <v>524</v>
      </c>
      <c r="C130" s="169" t="s">
        <v>20</v>
      </c>
      <c r="D130" s="168" t="s">
        <v>1946</v>
      </c>
      <c r="E130" s="173" t="n">
        <v>1</v>
      </c>
      <c r="F130" s="168"/>
    </row>
    <row r="131" customFormat="false" ht="15" hidden="false" customHeight="false" outlineLevel="0" collapsed="false">
      <c r="A131" s="164" t="s">
        <v>523</v>
      </c>
      <c r="B131" s="165" t="s">
        <v>524</v>
      </c>
      <c r="C131" s="165" t="s">
        <v>20</v>
      </c>
      <c r="D131" s="164" t="s">
        <v>1947</v>
      </c>
      <c r="E131" s="172" t="n">
        <v>0.95</v>
      </c>
      <c r="F131" s="164"/>
    </row>
    <row r="132" customFormat="false" ht="15" hidden="false" customHeight="false" outlineLevel="0" collapsed="false">
      <c r="A132" s="168" t="s">
        <v>523</v>
      </c>
      <c r="B132" s="169" t="s">
        <v>524</v>
      </c>
      <c r="C132" s="169" t="s">
        <v>20</v>
      </c>
      <c r="D132" s="168" t="s">
        <v>1948</v>
      </c>
      <c r="E132" s="173" t="n">
        <v>0.9</v>
      </c>
      <c r="F132" s="168"/>
    </row>
    <row r="133" customFormat="false" ht="15" hidden="false" customHeight="false" outlineLevel="0" collapsed="false">
      <c r="A133" s="164" t="s">
        <v>523</v>
      </c>
      <c r="B133" s="165" t="s">
        <v>524</v>
      </c>
      <c r="C133" s="165" t="s">
        <v>20</v>
      </c>
      <c r="D133" s="164" t="s">
        <v>1949</v>
      </c>
      <c r="E133" s="172" t="n">
        <v>1</v>
      </c>
      <c r="F133" s="164"/>
    </row>
    <row r="134" customFormat="false" ht="15" hidden="false" customHeight="false" outlineLevel="0" collapsed="false">
      <c r="A134" s="168" t="s">
        <v>523</v>
      </c>
      <c r="B134" s="169" t="s">
        <v>524</v>
      </c>
      <c r="C134" s="169" t="s">
        <v>20</v>
      </c>
      <c r="D134" s="168" t="s">
        <v>1950</v>
      </c>
      <c r="E134" s="173" t="n">
        <v>1</v>
      </c>
      <c r="F134" s="168"/>
    </row>
    <row r="135" customFormat="false" ht="15" hidden="false" customHeight="false" outlineLevel="0" collapsed="false">
      <c r="A135" s="164" t="s">
        <v>156</v>
      </c>
      <c r="B135" s="165" t="s">
        <v>157</v>
      </c>
      <c r="C135" s="165" t="s">
        <v>20</v>
      </c>
      <c r="D135" s="164" t="s">
        <v>1946</v>
      </c>
      <c r="E135" s="172" t="n">
        <v>1</v>
      </c>
      <c r="F135" s="166" t="n">
        <v>46146</v>
      </c>
    </row>
    <row r="136" customFormat="false" ht="15" hidden="false" customHeight="false" outlineLevel="0" collapsed="false">
      <c r="A136" s="168" t="s">
        <v>156</v>
      </c>
      <c r="B136" s="169" t="s">
        <v>157</v>
      </c>
      <c r="C136" s="169" t="s">
        <v>20</v>
      </c>
      <c r="D136" s="168" t="s">
        <v>1947</v>
      </c>
      <c r="E136" s="173" t="n">
        <v>1</v>
      </c>
      <c r="F136" s="170" t="n">
        <v>46146</v>
      </c>
    </row>
    <row r="137" customFormat="false" ht="15" hidden="false" customHeight="false" outlineLevel="0" collapsed="false">
      <c r="A137" s="164" t="s">
        <v>156</v>
      </c>
      <c r="B137" s="165" t="s">
        <v>157</v>
      </c>
      <c r="C137" s="165" t="s">
        <v>20</v>
      </c>
      <c r="D137" s="164" t="s">
        <v>1948</v>
      </c>
      <c r="E137" s="172" t="n">
        <v>1</v>
      </c>
      <c r="F137" s="166" t="n">
        <v>46146</v>
      </c>
    </row>
    <row r="138" customFormat="false" ht="15" hidden="false" customHeight="false" outlineLevel="0" collapsed="false">
      <c r="A138" s="168" t="s">
        <v>156</v>
      </c>
      <c r="B138" s="169" t="s">
        <v>157</v>
      </c>
      <c r="C138" s="169" t="s">
        <v>20</v>
      </c>
      <c r="D138" s="168" t="s">
        <v>1949</v>
      </c>
      <c r="E138" s="173" t="n">
        <v>1</v>
      </c>
      <c r="F138" s="170" t="n">
        <v>46146</v>
      </c>
    </row>
    <row r="139" customFormat="false" ht="15" hidden="false" customHeight="false" outlineLevel="0" collapsed="false">
      <c r="A139" s="164" t="s">
        <v>156</v>
      </c>
      <c r="B139" s="165" t="s">
        <v>157</v>
      </c>
      <c r="C139" s="165" t="s">
        <v>20</v>
      </c>
      <c r="D139" s="164" t="s">
        <v>1950</v>
      </c>
      <c r="E139" s="172" t="n">
        <v>1</v>
      </c>
      <c r="F139" s="166" t="n">
        <v>46146</v>
      </c>
    </row>
    <row r="140" customFormat="false" ht="15" hidden="false" customHeight="false" outlineLevel="0" collapsed="false">
      <c r="A140" s="168" t="s">
        <v>525</v>
      </c>
      <c r="B140" s="169" t="s">
        <v>526</v>
      </c>
      <c r="C140" s="169" t="s">
        <v>21</v>
      </c>
      <c r="D140" s="168" t="s">
        <v>1946</v>
      </c>
      <c r="E140" s="173" t="n">
        <v>0.75</v>
      </c>
      <c r="F140" s="168"/>
    </row>
    <row r="141" customFormat="false" ht="15" hidden="false" customHeight="false" outlineLevel="0" collapsed="false">
      <c r="A141" s="164" t="s">
        <v>525</v>
      </c>
      <c r="B141" s="165" t="s">
        <v>526</v>
      </c>
      <c r="C141" s="165" t="s">
        <v>21</v>
      </c>
      <c r="D141" s="164" t="s">
        <v>1947</v>
      </c>
      <c r="E141" s="172" t="n">
        <v>0.75</v>
      </c>
      <c r="F141" s="164"/>
    </row>
    <row r="142" customFormat="false" ht="15" hidden="false" customHeight="false" outlineLevel="0" collapsed="false">
      <c r="A142" s="168" t="s">
        <v>525</v>
      </c>
      <c r="B142" s="169" t="s">
        <v>526</v>
      </c>
      <c r="C142" s="169" t="s">
        <v>21</v>
      </c>
      <c r="D142" s="168" t="s">
        <v>1948</v>
      </c>
      <c r="E142" s="173" t="n">
        <v>0.8</v>
      </c>
      <c r="F142" s="168"/>
    </row>
    <row r="143" customFormat="false" ht="15" hidden="false" customHeight="false" outlineLevel="0" collapsed="false">
      <c r="A143" s="164" t="s">
        <v>525</v>
      </c>
      <c r="B143" s="165" t="s">
        <v>526</v>
      </c>
      <c r="C143" s="165" t="s">
        <v>21</v>
      </c>
      <c r="D143" s="164" t="s">
        <v>1949</v>
      </c>
      <c r="E143" s="172" t="n">
        <v>0.75</v>
      </c>
      <c r="F143" s="164"/>
    </row>
    <row r="144" customFormat="false" ht="15" hidden="false" customHeight="false" outlineLevel="0" collapsed="false">
      <c r="A144" s="168" t="s">
        <v>525</v>
      </c>
      <c r="B144" s="169" t="s">
        <v>526</v>
      </c>
      <c r="C144" s="169" t="s">
        <v>21</v>
      </c>
      <c r="D144" s="168" t="s">
        <v>1950</v>
      </c>
      <c r="E144" s="173" t="n">
        <v>0.8</v>
      </c>
      <c r="F144" s="168"/>
    </row>
    <row r="145" customFormat="false" ht="15" hidden="false" customHeight="false" outlineLevel="0" collapsed="false">
      <c r="A145" s="164" t="s">
        <v>527</v>
      </c>
      <c r="B145" s="165" t="s">
        <v>528</v>
      </c>
      <c r="C145" s="165" t="s">
        <v>21</v>
      </c>
      <c r="D145" s="164" t="s">
        <v>1946</v>
      </c>
      <c r="E145" s="172" t="n">
        <v>0.9</v>
      </c>
      <c r="F145" s="164"/>
    </row>
    <row r="146" customFormat="false" ht="15" hidden="false" customHeight="false" outlineLevel="0" collapsed="false">
      <c r="A146" s="168" t="s">
        <v>527</v>
      </c>
      <c r="B146" s="169" t="s">
        <v>528</v>
      </c>
      <c r="C146" s="169" t="s">
        <v>21</v>
      </c>
      <c r="D146" s="168" t="s">
        <v>1947</v>
      </c>
      <c r="E146" s="173" t="n">
        <v>1</v>
      </c>
      <c r="F146" s="168"/>
    </row>
    <row r="147" customFormat="false" ht="15" hidden="false" customHeight="false" outlineLevel="0" collapsed="false">
      <c r="A147" s="164" t="s">
        <v>527</v>
      </c>
      <c r="B147" s="165" t="s">
        <v>528</v>
      </c>
      <c r="C147" s="165" t="s">
        <v>21</v>
      </c>
      <c r="D147" s="164" t="s">
        <v>1948</v>
      </c>
      <c r="E147" s="172" t="n">
        <v>1</v>
      </c>
      <c r="F147" s="164"/>
    </row>
    <row r="148" customFormat="false" ht="15" hidden="false" customHeight="false" outlineLevel="0" collapsed="false">
      <c r="A148" s="168" t="s">
        <v>527</v>
      </c>
      <c r="B148" s="169" t="s">
        <v>528</v>
      </c>
      <c r="C148" s="169" t="s">
        <v>21</v>
      </c>
      <c r="D148" s="168" t="s">
        <v>1949</v>
      </c>
      <c r="E148" s="173" t="n">
        <v>1</v>
      </c>
      <c r="F148" s="168"/>
    </row>
    <row r="149" customFormat="false" ht="15" hidden="false" customHeight="false" outlineLevel="0" collapsed="false">
      <c r="A149" s="164" t="s">
        <v>527</v>
      </c>
      <c r="B149" s="165" t="s">
        <v>528</v>
      </c>
      <c r="C149" s="165" t="s">
        <v>21</v>
      </c>
      <c r="D149" s="164" t="s">
        <v>1950</v>
      </c>
      <c r="E149" s="172" t="n">
        <v>1</v>
      </c>
      <c r="F149" s="164"/>
    </row>
    <row r="150" customFormat="false" ht="15" hidden="false" customHeight="false" outlineLevel="0" collapsed="false">
      <c r="A150" s="168" t="s">
        <v>529</v>
      </c>
      <c r="B150" s="169" t="s">
        <v>530</v>
      </c>
      <c r="C150" s="169" t="s">
        <v>22</v>
      </c>
      <c r="D150" s="168" t="s">
        <v>1946</v>
      </c>
      <c r="E150" s="173" t="n">
        <v>0.5</v>
      </c>
      <c r="F150" s="168"/>
    </row>
    <row r="151" customFormat="false" ht="15" hidden="false" customHeight="false" outlineLevel="0" collapsed="false">
      <c r="A151" s="164" t="s">
        <v>529</v>
      </c>
      <c r="B151" s="165" t="s">
        <v>530</v>
      </c>
      <c r="C151" s="165" t="s">
        <v>22</v>
      </c>
      <c r="D151" s="164" t="s">
        <v>1947</v>
      </c>
      <c r="E151" s="172" t="n">
        <v>0.55</v>
      </c>
      <c r="F151" s="164"/>
    </row>
    <row r="152" customFormat="false" ht="15" hidden="false" customHeight="false" outlineLevel="0" collapsed="false">
      <c r="A152" s="168" t="s">
        <v>529</v>
      </c>
      <c r="B152" s="169" t="s">
        <v>530</v>
      </c>
      <c r="C152" s="169" t="s">
        <v>22</v>
      </c>
      <c r="D152" s="168" t="s">
        <v>1948</v>
      </c>
      <c r="E152" s="173" t="n">
        <v>0.55</v>
      </c>
      <c r="F152" s="168"/>
    </row>
    <row r="153" customFormat="false" ht="15" hidden="false" customHeight="false" outlineLevel="0" collapsed="false">
      <c r="A153" s="164" t="s">
        <v>529</v>
      </c>
      <c r="B153" s="165" t="s">
        <v>530</v>
      </c>
      <c r="C153" s="165" t="s">
        <v>22</v>
      </c>
      <c r="D153" s="164" t="s">
        <v>1949</v>
      </c>
      <c r="E153" s="172" t="n">
        <v>0.5</v>
      </c>
      <c r="F153" s="164"/>
    </row>
    <row r="154" customFormat="false" ht="15" hidden="false" customHeight="false" outlineLevel="0" collapsed="false">
      <c r="A154" s="168" t="s">
        <v>529</v>
      </c>
      <c r="B154" s="169" t="s">
        <v>530</v>
      </c>
      <c r="C154" s="169" t="s">
        <v>22</v>
      </c>
      <c r="D154" s="168" t="s">
        <v>1950</v>
      </c>
      <c r="E154" s="173" t="n">
        <v>0.5</v>
      </c>
      <c r="F154" s="168"/>
    </row>
    <row r="155" customFormat="false" ht="15" hidden="false" customHeight="false" outlineLevel="0" collapsed="false">
      <c r="A155" s="164" t="s">
        <v>531</v>
      </c>
      <c r="B155" s="165" t="s">
        <v>532</v>
      </c>
      <c r="C155" s="165" t="s">
        <v>22</v>
      </c>
      <c r="D155" s="164" t="s">
        <v>1946</v>
      </c>
      <c r="E155" s="172" t="n">
        <v>0.9</v>
      </c>
      <c r="F155" s="164"/>
    </row>
    <row r="156" customFormat="false" ht="15" hidden="false" customHeight="false" outlineLevel="0" collapsed="false">
      <c r="A156" s="168" t="s">
        <v>531</v>
      </c>
      <c r="B156" s="169" t="s">
        <v>532</v>
      </c>
      <c r="C156" s="169" t="s">
        <v>22</v>
      </c>
      <c r="D156" s="168" t="s">
        <v>1947</v>
      </c>
      <c r="E156" s="173" t="n">
        <v>1</v>
      </c>
      <c r="F156" s="168"/>
    </row>
    <row r="157" customFormat="false" ht="15" hidden="false" customHeight="false" outlineLevel="0" collapsed="false">
      <c r="A157" s="164" t="s">
        <v>531</v>
      </c>
      <c r="B157" s="165" t="s">
        <v>532</v>
      </c>
      <c r="C157" s="165" t="s">
        <v>22</v>
      </c>
      <c r="D157" s="164" t="s">
        <v>1948</v>
      </c>
      <c r="E157" s="172" t="n">
        <v>0.9</v>
      </c>
      <c r="F157" s="164"/>
    </row>
    <row r="158" customFormat="false" ht="15" hidden="false" customHeight="false" outlineLevel="0" collapsed="false">
      <c r="A158" s="168" t="s">
        <v>531</v>
      </c>
      <c r="B158" s="169" t="s">
        <v>532</v>
      </c>
      <c r="C158" s="169" t="s">
        <v>22</v>
      </c>
      <c r="D158" s="168" t="s">
        <v>1949</v>
      </c>
      <c r="E158" s="173" t="n">
        <v>0.95</v>
      </c>
      <c r="F158" s="168"/>
    </row>
    <row r="159" customFormat="false" ht="15" hidden="false" customHeight="false" outlineLevel="0" collapsed="false">
      <c r="A159" s="164" t="s">
        <v>531</v>
      </c>
      <c r="B159" s="165" t="s">
        <v>532</v>
      </c>
      <c r="C159" s="165" t="s">
        <v>22</v>
      </c>
      <c r="D159" s="164" t="s">
        <v>1950</v>
      </c>
      <c r="E159" s="172" t="n">
        <v>1</v>
      </c>
      <c r="F159" s="164"/>
    </row>
    <row r="160" customFormat="false" ht="15" hidden="false" customHeight="false" outlineLevel="0" collapsed="false">
      <c r="A160" s="168" t="s">
        <v>533</v>
      </c>
      <c r="B160" s="169" t="s">
        <v>534</v>
      </c>
      <c r="C160" s="169" t="s">
        <v>22</v>
      </c>
      <c r="D160" s="168" t="s">
        <v>1946</v>
      </c>
      <c r="E160" s="173" t="n">
        <v>0.55</v>
      </c>
      <c r="F160" s="168"/>
    </row>
    <row r="161" customFormat="false" ht="15" hidden="false" customHeight="false" outlineLevel="0" collapsed="false">
      <c r="A161" s="164" t="s">
        <v>533</v>
      </c>
      <c r="B161" s="165" t="s">
        <v>534</v>
      </c>
      <c r="C161" s="165" t="s">
        <v>22</v>
      </c>
      <c r="D161" s="164" t="s">
        <v>1947</v>
      </c>
      <c r="E161" s="172" t="n">
        <v>0.5</v>
      </c>
      <c r="F161" s="164"/>
    </row>
    <row r="162" customFormat="false" ht="15" hidden="false" customHeight="false" outlineLevel="0" collapsed="false">
      <c r="A162" s="168" t="s">
        <v>533</v>
      </c>
      <c r="B162" s="169" t="s">
        <v>534</v>
      </c>
      <c r="C162" s="169" t="s">
        <v>22</v>
      </c>
      <c r="D162" s="168" t="s">
        <v>1948</v>
      </c>
      <c r="E162" s="173" t="n">
        <v>0.5</v>
      </c>
      <c r="F162" s="168"/>
    </row>
    <row r="163" customFormat="false" ht="15" hidden="false" customHeight="false" outlineLevel="0" collapsed="false">
      <c r="A163" s="164" t="s">
        <v>533</v>
      </c>
      <c r="B163" s="165" t="s">
        <v>534</v>
      </c>
      <c r="C163" s="165" t="s">
        <v>22</v>
      </c>
      <c r="D163" s="164" t="s">
        <v>1949</v>
      </c>
      <c r="E163" s="172" t="n">
        <v>0.55</v>
      </c>
      <c r="F163" s="164"/>
    </row>
    <row r="164" customFormat="false" ht="15" hidden="false" customHeight="false" outlineLevel="0" collapsed="false">
      <c r="A164" s="168" t="s">
        <v>533</v>
      </c>
      <c r="B164" s="169" t="s">
        <v>534</v>
      </c>
      <c r="C164" s="169" t="s">
        <v>22</v>
      </c>
      <c r="D164" s="168" t="s">
        <v>1950</v>
      </c>
      <c r="E164" s="173" t="n">
        <v>0.5</v>
      </c>
      <c r="F164" s="168"/>
    </row>
    <row r="165" customFormat="false" ht="15" hidden="false" customHeight="false" outlineLevel="0" collapsed="false">
      <c r="A165" s="164" t="s">
        <v>535</v>
      </c>
      <c r="B165" s="165" t="s">
        <v>536</v>
      </c>
      <c r="C165" s="165" t="s">
        <v>22</v>
      </c>
      <c r="D165" s="164" t="s">
        <v>1946</v>
      </c>
      <c r="E165" s="172" t="n">
        <v>1</v>
      </c>
      <c r="F165" s="164"/>
    </row>
    <row r="166" customFormat="false" ht="15" hidden="false" customHeight="false" outlineLevel="0" collapsed="false">
      <c r="A166" s="168" t="s">
        <v>535</v>
      </c>
      <c r="B166" s="169" t="s">
        <v>536</v>
      </c>
      <c r="C166" s="169" t="s">
        <v>22</v>
      </c>
      <c r="D166" s="168" t="s">
        <v>1947</v>
      </c>
      <c r="E166" s="173" t="n">
        <v>0.9</v>
      </c>
      <c r="F166" s="168"/>
    </row>
    <row r="167" customFormat="false" ht="15" hidden="false" customHeight="false" outlineLevel="0" collapsed="false">
      <c r="A167" s="164" t="s">
        <v>535</v>
      </c>
      <c r="B167" s="165" t="s">
        <v>536</v>
      </c>
      <c r="C167" s="165" t="s">
        <v>22</v>
      </c>
      <c r="D167" s="164" t="s">
        <v>1948</v>
      </c>
      <c r="E167" s="172" t="n">
        <v>1</v>
      </c>
      <c r="F167" s="164"/>
    </row>
    <row r="168" customFormat="false" ht="15" hidden="false" customHeight="false" outlineLevel="0" collapsed="false">
      <c r="A168" s="168" t="s">
        <v>535</v>
      </c>
      <c r="B168" s="169" t="s">
        <v>536</v>
      </c>
      <c r="C168" s="169" t="s">
        <v>22</v>
      </c>
      <c r="D168" s="168" t="s">
        <v>1949</v>
      </c>
      <c r="E168" s="173" t="n">
        <v>1</v>
      </c>
      <c r="F168" s="168"/>
    </row>
    <row r="169" customFormat="false" ht="15" hidden="false" customHeight="false" outlineLevel="0" collapsed="false">
      <c r="A169" s="164" t="s">
        <v>535</v>
      </c>
      <c r="B169" s="165" t="s">
        <v>536</v>
      </c>
      <c r="C169" s="165" t="s">
        <v>22</v>
      </c>
      <c r="D169" s="164" t="s">
        <v>1950</v>
      </c>
      <c r="E169" s="172" t="n">
        <v>0.9</v>
      </c>
      <c r="F169" s="164"/>
    </row>
    <row r="170" customFormat="false" ht="15" hidden="false" customHeight="false" outlineLevel="0" collapsed="false">
      <c r="A170" s="168" t="s">
        <v>537</v>
      </c>
      <c r="B170" s="169" t="s">
        <v>538</v>
      </c>
      <c r="C170" s="169" t="s">
        <v>23</v>
      </c>
      <c r="D170" s="168" t="s">
        <v>1946</v>
      </c>
      <c r="E170" s="173" t="n">
        <v>0.75</v>
      </c>
      <c r="F170" s="168"/>
    </row>
    <row r="171" customFormat="false" ht="15" hidden="false" customHeight="false" outlineLevel="0" collapsed="false">
      <c r="A171" s="164" t="s">
        <v>537</v>
      </c>
      <c r="B171" s="165" t="s">
        <v>538</v>
      </c>
      <c r="C171" s="165" t="s">
        <v>23</v>
      </c>
      <c r="D171" s="164" t="s">
        <v>1947</v>
      </c>
      <c r="E171" s="172" t="n">
        <v>0.7</v>
      </c>
      <c r="F171" s="164"/>
    </row>
    <row r="172" customFormat="false" ht="15" hidden="false" customHeight="false" outlineLevel="0" collapsed="false">
      <c r="A172" s="168" t="s">
        <v>537</v>
      </c>
      <c r="B172" s="169" t="s">
        <v>538</v>
      </c>
      <c r="C172" s="169" t="s">
        <v>23</v>
      </c>
      <c r="D172" s="168" t="s">
        <v>1948</v>
      </c>
      <c r="E172" s="173" t="n">
        <v>0.8</v>
      </c>
      <c r="F172" s="168"/>
    </row>
    <row r="173" customFormat="false" ht="15" hidden="false" customHeight="false" outlineLevel="0" collapsed="false">
      <c r="A173" s="164" t="s">
        <v>537</v>
      </c>
      <c r="B173" s="165" t="s">
        <v>538</v>
      </c>
      <c r="C173" s="165" t="s">
        <v>23</v>
      </c>
      <c r="D173" s="164" t="s">
        <v>1949</v>
      </c>
      <c r="E173" s="172" t="n">
        <v>0.75</v>
      </c>
      <c r="F173" s="164"/>
    </row>
    <row r="174" customFormat="false" ht="15" hidden="false" customHeight="false" outlineLevel="0" collapsed="false">
      <c r="A174" s="168" t="s">
        <v>537</v>
      </c>
      <c r="B174" s="169" t="s">
        <v>538</v>
      </c>
      <c r="C174" s="169" t="s">
        <v>23</v>
      </c>
      <c r="D174" s="168" t="s">
        <v>1950</v>
      </c>
      <c r="E174" s="173" t="n">
        <v>0.65</v>
      </c>
      <c r="F174" s="168"/>
    </row>
    <row r="175" customFormat="false" ht="15" hidden="false" customHeight="false" outlineLevel="0" collapsed="false">
      <c r="A175" s="164" t="s">
        <v>539</v>
      </c>
      <c r="B175" s="165" t="s">
        <v>540</v>
      </c>
      <c r="C175" s="165" t="s">
        <v>23</v>
      </c>
      <c r="D175" s="164" t="s">
        <v>1946</v>
      </c>
      <c r="E175" s="172" t="n">
        <v>0.9</v>
      </c>
      <c r="F175" s="164"/>
    </row>
    <row r="176" customFormat="false" ht="15" hidden="false" customHeight="false" outlineLevel="0" collapsed="false">
      <c r="A176" s="168" t="s">
        <v>539</v>
      </c>
      <c r="B176" s="169" t="s">
        <v>540</v>
      </c>
      <c r="C176" s="169" t="s">
        <v>23</v>
      </c>
      <c r="D176" s="168" t="s">
        <v>1947</v>
      </c>
      <c r="E176" s="173" t="n">
        <v>1</v>
      </c>
      <c r="F176" s="168"/>
    </row>
    <row r="177" customFormat="false" ht="15" hidden="false" customHeight="false" outlineLevel="0" collapsed="false">
      <c r="A177" s="164" t="s">
        <v>539</v>
      </c>
      <c r="B177" s="165" t="s">
        <v>540</v>
      </c>
      <c r="C177" s="165" t="s">
        <v>23</v>
      </c>
      <c r="D177" s="164" t="s">
        <v>1948</v>
      </c>
      <c r="E177" s="172" t="n">
        <v>0.9</v>
      </c>
      <c r="F177" s="164"/>
    </row>
    <row r="178" customFormat="false" ht="15" hidden="false" customHeight="false" outlineLevel="0" collapsed="false">
      <c r="A178" s="168" t="s">
        <v>539</v>
      </c>
      <c r="B178" s="169" t="s">
        <v>540</v>
      </c>
      <c r="C178" s="169" t="s">
        <v>23</v>
      </c>
      <c r="D178" s="168" t="s">
        <v>1949</v>
      </c>
      <c r="E178" s="173" t="n">
        <v>1</v>
      </c>
      <c r="F178" s="168"/>
    </row>
    <row r="179" customFormat="false" ht="15" hidden="false" customHeight="false" outlineLevel="0" collapsed="false">
      <c r="A179" s="164" t="s">
        <v>539</v>
      </c>
      <c r="B179" s="165" t="s">
        <v>540</v>
      </c>
      <c r="C179" s="165" t="s">
        <v>23</v>
      </c>
      <c r="D179" s="164" t="s">
        <v>1950</v>
      </c>
      <c r="E179" s="172" t="n">
        <v>1</v>
      </c>
      <c r="F179" s="164"/>
    </row>
  </sheetData>
  <autoFilter ref="A4:F179"/>
  <mergeCells count="2">
    <mergeCell ref="A1:F1"/>
    <mergeCell ref="A2:F2"/>
  </mergeCells>
  <conditionalFormatting sqref="E5:E179">
    <cfRule type="dataBar" priority="2">
      <dataBar showValue="1" minLength="10" maxLength="90">
        <cfvo type="num" val="0"/>
        <cfvo type="num" val="1"/>
        <color rgb="FF2EBFA5"/>
      </dataBar>
      <extLst>
        <ext xmlns:x14="http://schemas.microsoft.com/office/spreadsheetml/2009/9/main" uri="{B025F937-C7B1-47D3-B67F-A62EFF666E3E}">
          <x14:id>{E72A2F60-D96B-4946-AF3F-D8B073B953A5}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2A2F60-D96B-4946-AF3F-D8B073B953A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BFA5"/>
              <x14:axisColor rgb="FF000000"/>
            </x14:dataBar>
          </x14:cfRule>
          <xm:sqref>E5:E179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61" t="s">
        <v>1951</v>
      </c>
      <c r="B1" s="161"/>
      <c r="C1" s="161"/>
      <c r="D1" s="161"/>
      <c r="E1" s="161"/>
      <c r="F1" s="161"/>
      <c r="G1" s="161"/>
      <c r="H1" s="161"/>
      <c r="I1" s="161"/>
    </row>
    <row r="2" customFormat="false" ht="24" hidden="false" customHeight="true" outlineLevel="0" collapsed="false">
      <c r="A2" s="162" t="s">
        <v>1952</v>
      </c>
      <c r="B2" s="162"/>
      <c r="C2" s="162"/>
      <c r="D2" s="162"/>
      <c r="E2" s="162"/>
      <c r="F2" s="162"/>
      <c r="G2" s="162"/>
      <c r="H2" s="162"/>
      <c r="I2" s="162"/>
    </row>
    <row r="4" customFormat="false" ht="31.5" hidden="false" customHeight="true" outlineLevel="0" collapsed="false">
      <c r="A4" s="163" t="s">
        <v>282</v>
      </c>
      <c r="B4" s="163" t="s">
        <v>51</v>
      </c>
      <c r="C4" s="163" t="s">
        <v>1953</v>
      </c>
      <c r="D4" s="163" t="s">
        <v>10</v>
      </c>
      <c r="E4" s="163" t="s">
        <v>283</v>
      </c>
      <c r="F4" s="163" t="s">
        <v>1954</v>
      </c>
      <c r="G4" s="163" t="s">
        <v>1955</v>
      </c>
      <c r="H4" s="163" t="s">
        <v>1956</v>
      </c>
      <c r="I4" s="163" t="s">
        <v>1957</v>
      </c>
    </row>
    <row r="5" customFormat="false" ht="15" hidden="false" customHeight="false" outlineLevel="0" collapsed="false">
      <c r="A5" s="164" t="s">
        <v>291</v>
      </c>
      <c r="B5" s="165" t="s">
        <v>292</v>
      </c>
      <c r="C5" s="164" t="s">
        <v>11</v>
      </c>
      <c r="D5" s="165" t="s">
        <v>15</v>
      </c>
      <c r="E5" s="165" t="s">
        <v>293</v>
      </c>
      <c r="F5" s="198" t="n">
        <v>4286098</v>
      </c>
      <c r="G5" s="198" t="n">
        <f aca="false">F5/12</f>
        <v>357174.833333333</v>
      </c>
      <c r="H5" s="199" t="n">
        <f aca="false">F5/USDINR</f>
        <v>51330.5149700599</v>
      </c>
      <c r="I5" s="199" t="n">
        <f aca="false">H5/12</f>
        <v>4277.54291417166</v>
      </c>
    </row>
    <row r="6" customFormat="false" ht="15" hidden="false" customHeight="false" outlineLevel="0" collapsed="false">
      <c r="A6" s="168" t="s">
        <v>296</v>
      </c>
      <c r="B6" s="169" t="s">
        <v>297</v>
      </c>
      <c r="C6" s="168" t="s">
        <v>11</v>
      </c>
      <c r="D6" s="169" t="s">
        <v>16</v>
      </c>
      <c r="E6" s="169" t="s">
        <v>298</v>
      </c>
      <c r="F6" s="200" t="n">
        <v>6806431</v>
      </c>
      <c r="G6" s="200" t="n">
        <f aca="false">F6/12</f>
        <v>567202.583333333</v>
      </c>
      <c r="H6" s="201" t="n">
        <f aca="false">F6/USDINR</f>
        <v>81514.1437125749</v>
      </c>
      <c r="I6" s="201" t="n">
        <f aca="false">H6/12</f>
        <v>6792.84530938124</v>
      </c>
    </row>
    <row r="7" customFormat="false" ht="15" hidden="false" customHeight="false" outlineLevel="0" collapsed="false">
      <c r="A7" s="164" t="s">
        <v>300</v>
      </c>
      <c r="B7" s="165" t="s">
        <v>109</v>
      </c>
      <c r="C7" s="164" t="s">
        <v>11</v>
      </c>
      <c r="D7" s="165" t="s">
        <v>20</v>
      </c>
      <c r="E7" s="165" t="s">
        <v>301</v>
      </c>
      <c r="F7" s="198" t="n">
        <v>5610563</v>
      </c>
      <c r="G7" s="198" t="n">
        <f aca="false">F7/12</f>
        <v>467546.916666667</v>
      </c>
      <c r="H7" s="199" t="n">
        <f aca="false">F7/USDINR</f>
        <v>67192.371257485</v>
      </c>
      <c r="I7" s="199" t="n">
        <f aca="false">H7/12</f>
        <v>5599.36427145709</v>
      </c>
    </row>
    <row r="8" customFormat="false" ht="15" hidden="false" customHeight="false" outlineLevel="0" collapsed="false">
      <c r="A8" s="168" t="s">
        <v>303</v>
      </c>
      <c r="B8" s="169" t="s">
        <v>304</v>
      </c>
      <c r="C8" s="168" t="s">
        <v>11</v>
      </c>
      <c r="D8" s="169" t="s">
        <v>21</v>
      </c>
      <c r="E8" s="169" t="s">
        <v>305</v>
      </c>
      <c r="F8" s="200" t="n">
        <v>10048476</v>
      </c>
      <c r="G8" s="200" t="n">
        <f aca="false">F8/12</f>
        <v>837373</v>
      </c>
      <c r="H8" s="201" t="n">
        <f aca="false">F8/USDINR</f>
        <v>120341.02994012</v>
      </c>
      <c r="I8" s="201" t="n">
        <f aca="false">H8/12</f>
        <v>10028.4191616766</v>
      </c>
    </row>
    <row r="9" customFormat="false" ht="15" hidden="false" customHeight="false" outlineLevel="0" collapsed="false">
      <c r="A9" s="164" t="s">
        <v>307</v>
      </c>
      <c r="B9" s="165" t="s">
        <v>308</v>
      </c>
      <c r="C9" s="164" t="s">
        <v>11</v>
      </c>
      <c r="D9" s="165" t="s">
        <v>22</v>
      </c>
      <c r="E9" s="165" t="s">
        <v>309</v>
      </c>
      <c r="F9" s="198" t="n">
        <v>12455746</v>
      </c>
      <c r="G9" s="198" t="n">
        <f aca="false">F9/12</f>
        <v>1037978.83333333</v>
      </c>
      <c r="H9" s="199" t="n">
        <f aca="false">F9/USDINR</f>
        <v>149170.610778443</v>
      </c>
      <c r="I9" s="199" t="n">
        <f aca="false">H9/12</f>
        <v>12430.8842315369</v>
      </c>
    </row>
    <row r="10" customFormat="false" ht="15" hidden="false" customHeight="false" outlineLevel="0" collapsed="false">
      <c r="A10" s="168" t="s">
        <v>311</v>
      </c>
      <c r="B10" s="169" t="s">
        <v>312</v>
      </c>
      <c r="C10" s="168" t="s">
        <v>11</v>
      </c>
      <c r="D10" s="169" t="s">
        <v>23</v>
      </c>
      <c r="E10" s="169" t="s">
        <v>313</v>
      </c>
      <c r="F10" s="200" t="n">
        <v>11456540</v>
      </c>
      <c r="G10" s="200" t="n">
        <f aca="false">F10/12</f>
        <v>954711.666666667</v>
      </c>
      <c r="H10" s="201" t="n">
        <f aca="false">F10/USDINR</f>
        <v>137204.071856287</v>
      </c>
      <c r="I10" s="201" t="n">
        <f aca="false">H10/12</f>
        <v>11433.6726546906</v>
      </c>
    </row>
    <row r="11" customFormat="false" ht="15" hidden="false" customHeight="false" outlineLevel="0" collapsed="false">
      <c r="A11" s="164" t="s">
        <v>315</v>
      </c>
      <c r="B11" s="165" t="s">
        <v>316</v>
      </c>
      <c r="C11" s="164" t="s">
        <v>11</v>
      </c>
      <c r="D11" s="165" t="s">
        <v>24</v>
      </c>
      <c r="E11" s="165" t="s">
        <v>317</v>
      </c>
      <c r="F11" s="198" t="n">
        <v>12747348</v>
      </c>
      <c r="G11" s="198" t="n">
        <f aca="false">F11/12</f>
        <v>1062279</v>
      </c>
      <c r="H11" s="199" t="n">
        <f aca="false">F11/USDINR</f>
        <v>152662.850299401</v>
      </c>
      <c r="I11" s="199" t="n">
        <f aca="false">H11/12</f>
        <v>12721.9041916168</v>
      </c>
    </row>
    <row r="12" customFormat="false" ht="15" hidden="false" customHeight="false" outlineLevel="0" collapsed="false">
      <c r="A12" s="168" t="s">
        <v>319</v>
      </c>
      <c r="B12" s="169" t="s">
        <v>320</v>
      </c>
      <c r="C12" s="168" t="s">
        <v>11</v>
      </c>
      <c r="D12" s="169" t="s">
        <v>25</v>
      </c>
      <c r="E12" s="169" t="s">
        <v>321</v>
      </c>
      <c r="F12" s="200" t="n">
        <v>7859678</v>
      </c>
      <c r="G12" s="200" t="n">
        <f aca="false">F12/12</f>
        <v>654973.166666667</v>
      </c>
      <c r="H12" s="201" t="n">
        <f aca="false">F12/USDINR</f>
        <v>94127.880239521</v>
      </c>
      <c r="I12" s="201" t="n">
        <f aca="false">H12/12</f>
        <v>7843.99001996008</v>
      </c>
    </row>
    <row r="13" customFormat="false" ht="15" hidden="false" customHeight="false" outlineLevel="0" collapsed="false">
      <c r="A13" s="164" t="s">
        <v>323</v>
      </c>
      <c r="B13" s="165" t="s">
        <v>324</v>
      </c>
      <c r="C13" s="164" t="s">
        <v>11</v>
      </c>
      <c r="D13" s="165" t="s">
        <v>15</v>
      </c>
      <c r="E13" s="165" t="s">
        <v>325</v>
      </c>
      <c r="F13" s="198" t="n">
        <v>2177606</v>
      </c>
      <c r="G13" s="198" t="n">
        <f aca="false">F13/12</f>
        <v>181467.166666667</v>
      </c>
      <c r="H13" s="199" t="n">
        <f aca="false">F13/USDINR</f>
        <v>26079.1137724551</v>
      </c>
      <c r="I13" s="199" t="n">
        <f aca="false">H13/12</f>
        <v>2173.25948103792</v>
      </c>
    </row>
    <row r="14" customFormat="false" ht="15" hidden="false" customHeight="false" outlineLevel="0" collapsed="false">
      <c r="A14" s="168" t="s">
        <v>327</v>
      </c>
      <c r="B14" s="169" t="s">
        <v>328</v>
      </c>
      <c r="C14" s="168" t="s">
        <v>11</v>
      </c>
      <c r="D14" s="169" t="s">
        <v>15</v>
      </c>
      <c r="E14" s="169" t="s">
        <v>325</v>
      </c>
      <c r="F14" s="200" t="n">
        <v>2156481</v>
      </c>
      <c r="G14" s="200" t="n">
        <f aca="false">F14/12</f>
        <v>179706.75</v>
      </c>
      <c r="H14" s="201" t="n">
        <f aca="false">F14/USDINR</f>
        <v>25826.119760479</v>
      </c>
      <c r="I14" s="201" t="n">
        <f aca="false">H14/12</f>
        <v>2152.17664670659</v>
      </c>
    </row>
    <row r="15" customFormat="false" ht="15" hidden="false" customHeight="false" outlineLevel="0" collapsed="false">
      <c r="A15" s="164" t="s">
        <v>330</v>
      </c>
      <c r="B15" s="165" t="s">
        <v>331</v>
      </c>
      <c r="C15" s="164" t="s">
        <v>11</v>
      </c>
      <c r="D15" s="165" t="s">
        <v>15</v>
      </c>
      <c r="E15" s="165" t="s">
        <v>325</v>
      </c>
      <c r="F15" s="198" t="n">
        <v>2167147</v>
      </c>
      <c r="G15" s="198" t="n">
        <f aca="false">F15/12</f>
        <v>180595.583333333</v>
      </c>
      <c r="H15" s="199" t="n">
        <f aca="false">F15/USDINR</f>
        <v>25953.8562874252</v>
      </c>
      <c r="I15" s="199" t="n">
        <f aca="false">H15/12</f>
        <v>2162.82135728543</v>
      </c>
    </row>
    <row r="16" customFormat="false" ht="15" hidden="false" customHeight="false" outlineLevel="0" collapsed="false">
      <c r="A16" s="168" t="s">
        <v>332</v>
      </c>
      <c r="B16" s="169" t="s">
        <v>333</v>
      </c>
      <c r="C16" s="168" t="s">
        <v>11</v>
      </c>
      <c r="D16" s="169" t="s">
        <v>16</v>
      </c>
      <c r="E16" s="169" t="s">
        <v>334</v>
      </c>
      <c r="F16" s="200" t="n">
        <v>1965608</v>
      </c>
      <c r="G16" s="200" t="n">
        <f aca="false">F16/12</f>
        <v>163800.666666667</v>
      </c>
      <c r="H16" s="201" t="n">
        <f aca="false">F16/USDINR</f>
        <v>23540.2155688623</v>
      </c>
      <c r="I16" s="201" t="n">
        <f aca="false">H16/12</f>
        <v>1961.68463073852</v>
      </c>
    </row>
    <row r="17" customFormat="false" ht="15" hidden="false" customHeight="false" outlineLevel="0" collapsed="false">
      <c r="A17" s="164" t="s">
        <v>335</v>
      </c>
      <c r="B17" s="165" t="s">
        <v>336</v>
      </c>
      <c r="C17" s="164" t="s">
        <v>11</v>
      </c>
      <c r="D17" s="165" t="s">
        <v>16</v>
      </c>
      <c r="E17" s="165" t="s">
        <v>334</v>
      </c>
      <c r="F17" s="198" t="n">
        <v>2602253</v>
      </c>
      <c r="G17" s="198" t="n">
        <f aca="false">F17/12</f>
        <v>216854.416666667</v>
      </c>
      <c r="H17" s="199" t="n">
        <f aca="false">F17/USDINR</f>
        <v>31164.7065868264</v>
      </c>
      <c r="I17" s="199" t="n">
        <f aca="false">H17/12</f>
        <v>2597.05888223553</v>
      </c>
    </row>
    <row r="18" customFormat="false" ht="15" hidden="false" customHeight="false" outlineLevel="0" collapsed="false">
      <c r="A18" s="168" t="s">
        <v>338</v>
      </c>
      <c r="B18" s="169" t="s">
        <v>339</v>
      </c>
      <c r="C18" s="168" t="s">
        <v>11</v>
      </c>
      <c r="D18" s="169" t="s">
        <v>20</v>
      </c>
      <c r="E18" s="169" t="s">
        <v>340</v>
      </c>
      <c r="F18" s="200" t="n">
        <v>2305056</v>
      </c>
      <c r="G18" s="200" t="n">
        <f aca="false">F18/12</f>
        <v>192088</v>
      </c>
      <c r="H18" s="201" t="n">
        <f aca="false">F18/USDINR</f>
        <v>27605.4610778443</v>
      </c>
      <c r="I18" s="201" t="n">
        <f aca="false">H18/12</f>
        <v>2300.45508982036</v>
      </c>
    </row>
    <row r="19" customFormat="false" ht="15" hidden="false" customHeight="false" outlineLevel="0" collapsed="false">
      <c r="A19" s="164" t="s">
        <v>342</v>
      </c>
      <c r="B19" s="165" t="s">
        <v>343</v>
      </c>
      <c r="C19" s="164" t="s">
        <v>11</v>
      </c>
      <c r="D19" s="165" t="s">
        <v>20</v>
      </c>
      <c r="E19" s="165" t="s">
        <v>340</v>
      </c>
      <c r="F19" s="198" t="n">
        <v>2843683</v>
      </c>
      <c r="G19" s="198" t="n">
        <f aca="false">F19/12</f>
        <v>236973.583333333</v>
      </c>
      <c r="H19" s="199" t="n">
        <f aca="false">F19/USDINR</f>
        <v>34056.0838323353</v>
      </c>
      <c r="I19" s="199" t="n">
        <f aca="false">H19/12</f>
        <v>2838.00698602794</v>
      </c>
    </row>
    <row r="20" customFormat="false" ht="15" hidden="false" customHeight="false" outlineLevel="0" collapsed="false">
      <c r="A20" s="168" t="s">
        <v>344</v>
      </c>
      <c r="B20" s="169" t="s">
        <v>345</v>
      </c>
      <c r="C20" s="168" t="s">
        <v>11</v>
      </c>
      <c r="D20" s="169" t="s">
        <v>20</v>
      </c>
      <c r="E20" s="169" t="s">
        <v>340</v>
      </c>
      <c r="F20" s="200" t="n">
        <v>2100139</v>
      </c>
      <c r="G20" s="200" t="n">
        <f aca="false">F20/12</f>
        <v>175011.583333333</v>
      </c>
      <c r="H20" s="201" t="n">
        <f aca="false">F20/USDINR</f>
        <v>25151.3652694611</v>
      </c>
      <c r="I20" s="201" t="n">
        <f aca="false">H20/12</f>
        <v>2095.94710578842</v>
      </c>
    </row>
    <row r="21" customFormat="false" ht="15" hidden="false" customHeight="false" outlineLevel="0" collapsed="false">
      <c r="A21" s="164" t="s">
        <v>347</v>
      </c>
      <c r="B21" s="165" t="s">
        <v>348</v>
      </c>
      <c r="C21" s="164" t="s">
        <v>11</v>
      </c>
      <c r="D21" s="165" t="s">
        <v>21</v>
      </c>
      <c r="E21" s="165" t="s">
        <v>349</v>
      </c>
      <c r="F21" s="198" t="n">
        <v>3986934</v>
      </c>
      <c r="G21" s="198" t="n">
        <f aca="false">F21/12</f>
        <v>332244.5</v>
      </c>
      <c r="H21" s="199" t="n">
        <f aca="false">F21/USDINR</f>
        <v>47747.7125748503</v>
      </c>
      <c r="I21" s="199" t="n">
        <f aca="false">H21/12</f>
        <v>3978.97604790419</v>
      </c>
    </row>
    <row r="22" customFormat="false" ht="15" hidden="false" customHeight="false" outlineLevel="0" collapsed="false">
      <c r="A22" s="168" t="s">
        <v>351</v>
      </c>
      <c r="B22" s="169" t="s">
        <v>352</v>
      </c>
      <c r="C22" s="168" t="s">
        <v>11</v>
      </c>
      <c r="D22" s="169" t="s">
        <v>21</v>
      </c>
      <c r="E22" s="169" t="s">
        <v>349</v>
      </c>
      <c r="F22" s="200" t="n">
        <v>4467101</v>
      </c>
      <c r="G22" s="200" t="n">
        <f aca="false">F22/12</f>
        <v>372258.416666667</v>
      </c>
      <c r="H22" s="201" t="n">
        <f aca="false">F22/USDINR</f>
        <v>53498.2155688623</v>
      </c>
      <c r="I22" s="201" t="n">
        <f aca="false">H22/12</f>
        <v>4458.18463073852</v>
      </c>
    </row>
    <row r="23" customFormat="false" ht="15" hidden="false" customHeight="false" outlineLevel="0" collapsed="false">
      <c r="A23" s="164" t="s">
        <v>353</v>
      </c>
      <c r="B23" s="165" t="s">
        <v>164</v>
      </c>
      <c r="C23" s="164" t="s">
        <v>11</v>
      </c>
      <c r="D23" s="165" t="s">
        <v>21</v>
      </c>
      <c r="E23" s="165" t="s">
        <v>349</v>
      </c>
      <c r="F23" s="198" t="n">
        <v>4837782</v>
      </c>
      <c r="G23" s="198" t="n">
        <f aca="false">F23/12</f>
        <v>403148.5</v>
      </c>
      <c r="H23" s="199" t="n">
        <f aca="false">F23/USDINR</f>
        <v>57937.5089820359</v>
      </c>
      <c r="I23" s="199" t="n">
        <f aca="false">H23/12</f>
        <v>4828.12574850299</v>
      </c>
    </row>
    <row r="24" customFormat="false" ht="15" hidden="false" customHeight="false" outlineLevel="0" collapsed="false">
      <c r="A24" s="168" t="s">
        <v>355</v>
      </c>
      <c r="B24" s="169" t="s">
        <v>356</v>
      </c>
      <c r="C24" s="168" t="s">
        <v>11</v>
      </c>
      <c r="D24" s="169" t="s">
        <v>22</v>
      </c>
      <c r="E24" s="169" t="s">
        <v>357</v>
      </c>
      <c r="F24" s="200" t="n">
        <v>866314</v>
      </c>
      <c r="G24" s="200" t="n">
        <f aca="false">F24/12</f>
        <v>72192.8333333333</v>
      </c>
      <c r="H24" s="201" t="n">
        <f aca="false">F24/USDINR</f>
        <v>10375.0179640719</v>
      </c>
      <c r="I24" s="201" t="n">
        <f aca="false">H24/12</f>
        <v>864.584830339321</v>
      </c>
    </row>
    <row r="25" customFormat="false" ht="15" hidden="false" customHeight="false" outlineLevel="0" collapsed="false">
      <c r="A25" s="164" t="s">
        <v>358</v>
      </c>
      <c r="B25" s="165" t="s">
        <v>79</v>
      </c>
      <c r="C25" s="164" t="s">
        <v>11</v>
      </c>
      <c r="D25" s="165" t="s">
        <v>22</v>
      </c>
      <c r="E25" s="165" t="s">
        <v>357</v>
      </c>
      <c r="F25" s="198" t="n">
        <v>1081894</v>
      </c>
      <c r="G25" s="198" t="n">
        <f aca="false">F25/12</f>
        <v>90157.8333333333</v>
      </c>
      <c r="H25" s="199" t="n">
        <f aca="false">F25/USDINR</f>
        <v>12956.8143712575</v>
      </c>
      <c r="I25" s="199" t="n">
        <f aca="false">H25/12</f>
        <v>1079.73453093812</v>
      </c>
    </row>
    <row r="26" customFormat="false" ht="15" hidden="false" customHeight="false" outlineLevel="0" collapsed="false">
      <c r="A26" s="168" t="s">
        <v>360</v>
      </c>
      <c r="B26" s="169" t="s">
        <v>361</v>
      </c>
      <c r="C26" s="168" t="s">
        <v>11</v>
      </c>
      <c r="D26" s="169" t="s">
        <v>22</v>
      </c>
      <c r="E26" s="169" t="s">
        <v>357</v>
      </c>
      <c r="F26" s="200" t="n">
        <v>867729</v>
      </c>
      <c r="G26" s="200" t="n">
        <f aca="false">F26/12</f>
        <v>72310.75</v>
      </c>
      <c r="H26" s="201" t="n">
        <f aca="false">F26/USDINR</f>
        <v>10391.9640718563</v>
      </c>
      <c r="I26" s="201" t="n">
        <f aca="false">H26/12</f>
        <v>865.997005988024</v>
      </c>
    </row>
    <row r="27" customFormat="false" ht="15" hidden="false" customHeight="false" outlineLevel="0" collapsed="false">
      <c r="A27" s="164" t="s">
        <v>363</v>
      </c>
      <c r="B27" s="165" t="s">
        <v>364</v>
      </c>
      <c r="C27" s="164" t="s">
        <v>11</v>
      </c>
      <c r="D27" s="165" t="s">
        <v>23</v>
      </c>
      <c r="E27" s="165" t="s">
        <v>365</v>
      </c>
      <c r="F27" s="198" t="n">
        <v>3898466</v>
      </c>
      <c r="G27" s="198" t="n">
        <f aca="false">F27/12</f>
        <v>324872.166666667</v>
      </c>
      <c r="H27" s="199" t="n">
        <f aca="false">F27/USDINR</f>
        <v>46688.2155688623</v>
      </c>
      <c r="I27" s="199" t="n">
        <f aca="false">H27/12</f>
        <v>3890.68463073852</v>
      </c>
    </row>
    <row r="28" customFormat="false" ht="15" hidden="false" customHeight="false" outlineLevel="0" collapsed="false">
      <c r="A28" s="168" t="s">
        <v>367</v>
      </c>
      <c r="B28" s="169" t="s">
        <v>119</v>
      </c>
      <c r="C28" s="168" t="s">
        <v>11</v>
      </c>
      <c r="D28" s="169" t="s">
        <v>23</v>
      </c>
      <c r="E28" s="169" t="s">
        <v>365</v>
      </c>
      <c r="F28" s="200" t="n">
        <v>2519707</v>
      </c>
      <c r="G28" s="200" t="n">
        <f aca="false">F28/12</f>
        <v>209975.583333333</v>
      </c>
      <c r="H28" s="201" t="n">
        <f aca="false">F28/USDINR</f>
        <v>30176.1317365269</v>
      </c>
      <c r="I28" s="201" t="n">
        <f aca="false">H28/12</f>
        <v>2514.67764471058</v>
      </c>
    </row>
    <row r="29" customFormat="false" ht="15" hidden="false" customHeight="false" outlineLevel="0" collapsed="false">
      <c r="A29" s="164" t="s">
        <v>369</v>
      </c>
      <c r="B29" s="165" t="s">
        <v>370</v>
      </c>
      <c r="C29" s="164" t="s">
        <v>11</v>
      </c>
      <c r="D29" s="165" t="s">
        <v>24</v>
      </c>
      <c r="E29" s="165" t="s">
        <v>371</v>
      </c>
      <c r="F29" s="198" t="n">
        <v>5385147</v>
      </c>
      <c r="G29" s="198" t="n">
        <f aca="false">F29/12</f>
        <v>448762.25</v>
      </c>
      <c r="H29" s="199" t="n">
        <f aca="false">F29/USDINR</f>
        <v>64492.7784431138</v>
      </c>
      <c r="I29" s="199" t="n">
        <f aca="false">H29/12</f>
        <v>5374.39820359281</v>
      </c>
    </row>
    <row r="30" customFormat="false" ht="15" hidden="false" customHeight="false" outlineLevel="0" collapsed="false">
      <c r="A30" s="168" t="s">
        <v>372</v>
      </c>
      <c r="B30" s="169" t="s">
        <v>373</v>
      </c>
      <c r="C30" s="168" t="s">
        <v>11</v>
      </c>
      <c r="D30" s="169" t="s">
        <v>24</v>
      </c>
      <c r="E30" s="169" t="s">
        <v>371</v>
      </c>
      <c r="F30" s="200" t="n">
        <v>5187437</v>
      </c>
      <c r="G30" s="200" t="n">
        <f aca="false">F30/12</f>
        <v>432286.416666667</v>
      </c>
      <c r="H30" s="201" t="n">
        <f aca="false">F30/USDINR</f>
        <v>62124.9940119761</v>
      </c>
      <c r="I30" s="201" t="n">
        <f aca="false">H30/12</f>
        <v>5177.08283433134</v>
      </c>
    </row>
    <row r="31" customFormat="false" ht="15" hidden="false" customHeight="false" outlineLevel="0" collapsed="false">
      <c r="A31" s="164" t="s">
        <v>375</v>
      </c>
      <c r="B31" s="165" t="s">
        <v>297</v>
      </c>
      <c r="C31" s="164" t="s">
        <v>11</v>
      </c>
      <c r="D31" s="165" t="s">
        <v>24</v>
      </c>
      <c r="E31" s="165" t="s">
        <v>371</v>
      </c>
      <c r="F31" s="198" t="n">
        <v>4475706</v>
      </c>
      <c r="G31" s="198" t="n">
        <f aca="false">F31/12</f>
        <v>372975.5</v>
      </c>
      <c r="H31" s="199" t="n">
        <f aca="false">F31/USDINR</f>
        <v>53601.2694610778</v>
      </c>
      <c r="I31" s="199" t="n">
        <f aca="false">H31/12</f>
        <v>4466.77245508982</v>
      </c>
    </row>
    <row r="32" customFormat="false" ht="15" hidden="false" customHeight="false" outlineLevel="0" collapsed="false">
      <c r="A32" s="168" t="s">
        <v>376</v>
      </c>
      <c r="B32" s="169" t="s">
        <v>377</v>
      </c>
      <c r="C32" s="168" t="s">
        <v>11</v>
      </c>
      <c r="D32" s="169" t="s">
        <v>25</v>
      </c>
      <c r="E32" s="169" t="s">
        <v>378</v>
      </c>
      <c r="F32" s="200" t="n">
        <v>3103207</v>
      </c>
      <c r="G32" s="200" t="n">
        <f aca="false">F32/12</f>
        <v>258600.583333333</v>
      </c>
      <c r="H32" s="201" t="n">
        <f aca="false">F32/USDINR</f>
        <v>37164.1556886228</v>
      </c>
      <c r="I32" s="201" t="n">
        <f aca="false">H32/12</f>
        <v>3097.0129740519</v>
      </c>
    </row>
    <row r="33" customFormat="false" ht="15" hidden="false" customHeight="false" outlineLevel="0" collapsed="false">
      <c r="A33" s="164" t="s">
        <v>379</v>
      </c>
      <c r="B33" s="165" t="s">
        <v>380</v>
      </c>
      <c r="C33" s="164" t="s">
        <v>11</v>
      </c>
      <c r="D33" s="165" t="s">
        <v>25</v>
      </c>
      <c r="E33" s="165" t="s">
        <v>378</v>
      </c>
      <c r="F33" s="198" t="n">
        <v>3921053</v>
      </c>
      <c r="G33" s="198" t="n">
        <f aca="false">F33/12</f>
        <v>326754.416666667</v>
      </c>
      <c r="H33" s="199" t="n">
        <f aca="false">F33/USDINR</f>
        <v>46958.7185628743</v>
      </c>
      <c r="I33" s="199" t="n">
        <f aca="false">H33/12</f>
        <v>3913.22654690619</v>
      </c>
    </row>
    <row r="34" customFormat="false" ht="15" hidden="false" customHeight="false" outlineLevel="0" collapsed="false">
      <c r="A34" s="168" t="s">
        <v>382</v>
      </c>
      <c r="B34" s="169" t="s">
        <v>383</v>
      </c>
      <c r="C34" s="168" t="s">
        <v>11</v>
      </c>
      <c r="D34" s="169" t="s">
        <v>15</v>
      </c>
      <c r="E34" s="169" t="s">
        <v>384</v>
      </c>
      <c r="F34" s="200" t="n">
        <v>1773149</v>
      </c>
      <c r="G34" s="200" t="n">
        <f aca="false">F34/12</f>
        <v>147762.416666667</v>
      </c>
      <c r="H34" s="201" t="n">
        <f aca="false">F34/USDINR</f>
        <v>21235.3173652695</v>
      </c>
      <c r="I34" s="201" t="n">
        <f aca="false">H34/12</f>
        <v>1769.60978043912</v>
      </c>
    </row>
    <row r="35" customFormat="false" ht="15" hidden="false" customHeight="false" outlineLevel="0" collapsed="false">
      <c r="A35" s="164" t="s">
        <v>161</v>
      </c>
      <c r="B35" s="165" t="s">
        <v>162</v>
      </c>
      <c r="C35" s="164" t="s">
        <v>11</v>
      </c>
      <c r="D35" s="165" t="s">
        <v>15</v>
      </c>
      <c r="E35" s="165" t="s">
        <v>387</v>
      </c>
      <c r="F35" s="198" t="n">
        <v>765649</v>
      </c>
      <c r="G35" s="198" t="n">
        <f aca="false">F35/12</f>
        <v>63804.0833333333</v>
      </c>
      <c r="H35" s="199" t="n">
        <f aca="false">F35/USDINR</f>
        <v>9169.44910179641</v>
      </c>
      <c r="I35" s="199" t="n">
        <f aca="false">H35/12</f>
        <v>764.120758483034</v>
      </c>
    </row>
    <row r="36" customFormat="false" ht="15" hidden="false" customHeight="false" outlineLevel="0" collapsed="false">
      <c r="A36" s="168" t="s">
        <v>388</v>
      </c>
      <c r="B36" s="169" t="s">
        <v>389</v>
      </c>
      <c r="C36" s="168" t="s">
        <v>11</v>
      </c>
      <c r="D36" s="169" t="s">
        <v>15</v>
      </c>
      <c r="E36" s="169" t="s">
        <v>384</v>
      </c>
      <c r="F36" s="200" t="n">
        <v>1277449</v>
      </c>
      <c r="G36" s="200" t="n">
        <f aca="false">F36/12</f>
        <v>106454.083333333</v>
      </c>
      <c r="H36" s="201" t="n">
        <f aca="false">F36/USDINR</f>
        <v>15298.7904191617</v>
      </c>
      <c r="I36" s="201" t="n">
        <f aca="false">H36/12</f>
        <v>1274.89920159681</v>
      </c>
    </row>
    <row r="37" customFormat="false" ht="15" hidden="false" customHeight="false" outlineLevel="0" collapsed="false">
      <c r="A37" s="164" t="s">
        <v>390</v>
      </c>
      <c r="B37" s="165" t="s">
        <v>391</v>
      </c>
      <c r="C37" s="164" t="s">
        <v>11</v>
      </c>
      <c r="D37" s="165" t="s">
        <v>15</v>
      </c>
      <c r="E37" s="165" t="s">
        <v>387</v>
      </c>
      <c r="F37" s="198" t="n">
        <v>1063187</v>
      </c>
      <c r="G37" s="198" t="n">
        <f aca="false">F37/12</f>
        <v>88598.9166666667</v>
      </c>
      <c r="H37" s="199" t="n">
        <f aca="false">F37/USDINR</f>
        <v>12732.7784431138</v>
      </c>
      <c r="I37" s="199" t="n">
        <f aca="false">H37/12</f>
        <v>1061.06487025948</v>
      </c>
    </row>
    <row r="38" customFormat="false" ht="15" hidden="false" customHeight="false" outlineLevel="0" collapsed="false">
      <c r="A38" s="168" t="s">
        <v>163</v>
      </c>
      <c r="B38" s="169" t="s">
        <v>164</v>
      </c>
      <c r="C38" s="168" t="s">
        <v>11</v>
      </c>
      <c r="D38" s="169" t="s">
        <v>15</v>
      </c>
      <c r="E38" s="169" t="s">
        <v>384</v>
      </c>
      <c r="F38" s="200" t="n">
        <v>1562351</v>
      </c>
      <c r="G38" s="200" t="n">
        <f aca="false">F38/12</f>
        <v>130195.916666667</v>
      </c>
      <c r="H38" s="201" t="n">
        <f aca="false">F38/USDINR</f>
        <v>18710.7904191617</v>
      </c>
      <c r="I38" s="201" t="n">
        <f aca="false">H38/12</f>
        <v>1559.23253493014</v>
      </c>
    </row>
    <row r="39" customFormat="false" ht="15" hidden="false" customHeight="false" outlineLevel="0" collapsed="false">
      <c r="A39" s="164" t="s">
        <v>68</v>
      </c>
      <c r="B39" s="165" t="s">
        <v>69</v>
      </c>
      <c r="C39" s="164" t="s">
        <v>11</v>
      </c>
      <c r="D39" s="165" t="s">
        <v>15</v>
      </c>
      <c r="E39" s="165" t="s">
        <v>393</v>
      </c>
      <c r="F39" s="198" t="n">
        <v>531036</v>
      </c>
      <c r="G39" s="198" t="n">
        <f aca="false">F39/12</f>
        <v>44253</v>
      </c>
      <c r="H39" s="199" t="n">
        <f aca="false">F39/USDINR</f>
        <v>6359.7125748503</v>
      </c>
      <c r="I39" s="199" t="n">
        <f aca="false">H39/12</f>
        <v>529.976047904192</v>
      </c>
    </row>
    <row r="40" customFormat="false" ht="15" hidden="false" customHeight="false" outlineLevel="0" collapsed="false">
      <c r="A40" s="168" t="s">
        <v>80</v>
      </c>
      <c r="B40" s="169" t="s">
        <v>81</v>
      </c>
      <c r="C40" s="168" t="s">
        <v>11</v>
      </c>
      <c r="D40" s="169" t="s">
        <v>15</v>
      </c>
      <c r="E40" s="169" t="s">
        <v>393</v>
      </c>
      <c r="F40" s="200" t="n">
        <v>417624</v>
      </c>
      <c r="G40" s="200" t="n">
        <f aca="false">F40/12</f>
        <v>34802</v>
      </c>
      <c r="H40" s="201" t="n">
        <f aca="false">F40/USDINR</f>
        <v>5001.48502994012</v>
      </c>
      <c r="I40" s="201" t="n">
        <f aca="false">H40/12</f>
        <v>416.790419161677</v>
      </c>
    </row>
    <row r="41" customFormat="false" ht="15" hidden="false" customHeight="false" outlineLevel="0" collapsed="false">
      <c r="A41" s="164" t="s">
        <v>395</v>
      </c>
      <c r="B41" s="165" t="s">
        <v>396</v>
      </c>
      <c r="C41" s="164" t="s">
        <v>11</v>
      </c>
      <c r="D41" s="165" t="s">
        <v>16</v>
      </c>
      <c r="E41" s="165" t="s">
        <v>397</v>
      </c>
      <c r="F41" s="198" t="n">
        <v>1044920</v>
      </c>
      <c r="G41" s="198" t="n">
        <f aca="false">F41/12</f>
        <v>87076.6666666667</v>
      </c>
      <c r="H41" s="199" t="n">
        <f aca="false">F41/USDINR</f>
        <v>12514.0119760479</v>
      </c>
      <c r="I41" s="199" t="n">
        <f aca="false">H41/12</f>
        <v>1042.83433133733</v>
      </c>
    </row>
    <row r="42" customFormat="false" ht="15" hidden="false" customHeight="false" outlineLevel="0" collapsed="false">
      <c r="A42" s="168" t="s">
        <v>84</v>
      </c>
      <c r="B42" s="169" t="s">
        <v>85</v>
      </c>
      <c r="C42" s="168" t="s">
        <v>11</v>
      </c>
      <c r="D42" s="169" t="s">
        <v>16</v>
      </c>
      <c r="E42" s="169" t="s">
        <v>398</v>
      </c>
      <c r="F42" s="200" t="n">
        <v>3947692</v>
      </c>
      <c r="G42" s="200" t="n">
        <f aca="false">F42/12</f>
        <v>328974.333333333</v>
      </c>
      <c r="H42" s="201" t="n">
        <f aca="false">F42/USDINR</f>
        <v>47277.748502994</v>
      </c>
      <c r="I42" s="201" t="n">
        <f aca="false">H42/12</f>
        <v>3939.8123752495</v>
      </c>
    </row>
    <row r="43" customFormat="false" ht="15" hidden="false" customHeight="false" outlineLevel="0" collapsed="false">
      <c r="A43" s="164" t="s">
        <v>399</v>
      </c>
      <c r="B43" s="165" t="s">
        <v>400</v>
      </c>
      <c r="C43" s="164" t="s">
        <v>11</v>
      </c>
      <c r="D43" s="165" t="s">
        <v>16</v>
      </c>
      <c r="E43" s="165" t="s">
        <v>397</v>
      </c>
      <c r="F43" s="198" t="n">
        <v>862246</v>
      </c>
      <c r="G43" s="198" t="n">
        <f aca="false">F43/12</f>
        <v>71853.8333333333</v>
      </c>
      <c r="H43" s="199" t="n">
        <f aca="false">F43/USDINR</f>
        <v>10326.2994011976</v>
      </c>
      <c r="I43" s="199" t="n">
        <f aca="false">H43/12</f>
        <v>860.5249500998</v>
      </c>
    </row>
    <row r="44" customFormat="false" ht="15" hidden="false" customHeight="false" outlineLevel="0" collapsed="false">
      <c r="A44" s="168" t="s">
        <v>402</v>
      </c>
      <c r="B44" s="169" t="s">
        <v>403</v>
      </c>
      <c r="C44" s="168" t="s">
        <v>11</v>
      </c>
      <c r="D44" s="169" t="s">
        <v>16</v>
      </c>
      <c r="E44" s="169" t="s">
        <v>397</v>
      </c>
      <c r="F44" s="200" t="n">
        <v>1079027</v>
      </c>
      <c r="G44" s="200" t="n">
        <f aca="false">F44/12</f>
        <v>89918.9166666667</v>
      </c>
      <c r="H44" s="201" t="n">
        <f aca="false">F44/USDINR</f>
        <v>12922.4790419162</v>
      </c>
      <c r="I44" s="201" t="n">
        <f aca="false">H44/12</f>
        <v>1076.87325349301</v>
      </c>
    </row>
    <row r="45" customFormat="false" ht="15" hidden="false" customHeight="false" outlineLevel="0" collapsed="false">
      <c r="A45" s="164" t="s">
        <v>404</v>
      </c>
      <c r="B45" s="165" t="s">
        <v>405</v>
      </c>
      <c r="C45" s="164" t="s">
        <v>11</v>
      </c>
      <c r="D45" s="165" t="s">
        <v>16</v>
      </c>
      <c r="E45" s="165" t="s">
        <v>398</v>
      </c>
      <c r="F45" s="198" t="n">
        <v>3133595</v>
      </c>
      <c r="G45" s="198" t="n">
        <f aca="false">F45/12</f>
        <v>261132.916666667</v>
      </c>
      <c r="H45" s="199" t="n">
        <f aca="false">F45/USDINR</f>
        <v>37528.0838323353</v>
      </c>
      <c r="I45" s="199" t="n">
        <f aca="false">H45/12</f>
        <v>3127.34031936128</v>
      </c>
    </row>
    <row r="46" customFormat="false" ht="15" hidden="false" customHeight="false" outlineLevel="0" collapsed="false">
      <c r="A46" s="168" t="s">
        <v>72</v>
      </c>
      <c r="B46" s="169" t="s">
        <v>73</v>
      </c>
      <c r="C46" s="168" t="s">
        <v>11</v>
      </c>
      <c r="D46" s="169" t="s">
        <v>16</v>
      </c>
      <c r="E46" s="169" t="s">
        <v>407</v>
      </c>
      <c r="F46" s="200" t="n">
        <v>378324</v>
      </c>
      <c r="G46" s="200" t="n">
        <f aca="false">F46/12</f>
        <v>31527</v>
      </c>
      <c r="H46" s="201" t="n">
        <f aca="false">F46/USDINR</f>
        <v>4530.82634730539</v>
      </c>
      <c r="I46" s="201" t="n">
        <f aca="false">H46/12</f>
        <v>377.568862275449</v>
      </c>
    </row>
    <row r="47" customFormat="false" ht="15" hidden="false" customHeight="false" outlineLevel="0" collapsed="false">
      <c r="A47" s="164" t="s">
        <v>408</v>
      </c>
      <c r="B47" s="165" t="s">
        <v>409</v>
      </c>
      <c r="C47" s="164" t="s">
        <v>11</v>
      </c>
      <c r="D47" s="165" t="s">
        <v>16</v>
      </c>
      <c r="E47" s="165" t="s">
        <v>407</v>
      </c>
      <c r="F47" s="198" t="n">
        <v>451260</v>
      </c>
      <c r="G47" s="198" t="n">
        <f aca="false">F47/12</f>
        <v>37605</v>
      </c>
      <c r="H47" s="199" t="n">
        <f aca="false">F47/USDINR</f>
        <v>5404.31137724551</v>
      </c>
      <c r="I47" s="199" t="n">
        <f aca="false">H47/12</f>
        <v>450.359281437126</v>
      </c>
    </row>
    <row r="48" customFormat="false" ht="15" hidden="false" customHeight="false" outlineLevel="0" collapsed="false">
      <c r="A48" s="168" t="s">
        <v>74</v>
      </c>
      <c r="B48" s="169" t="s">
        <v>75</v>
      </c>
      <c r="C48" s="168" t="s">
        <v>11</v>
      </c>
      <c r="D48" s="169" t="s">
        <v>20</v>
      </c>
      <c r="E48" s="169" t="s">
        <v>410</v>
      </c>
      <c r="F48" s="200" t="n">
        <v>1106680</v>
      </c>
      <c r="G48" s="200" t="n">
        <f aca="false">F48/12</f>
        <v>92223.3333333333</v>
      </c>
      <c r="H48" s="201" t="n">
        <f aca="false">F48/USDINR</f>
        <v>13253.6526946108</v>
      </c>
      <c r="I48" s="201" t="n">
        <f aca="false">H48/12</f>
        <v>1104.47105788423</v>
      </c>
    </row>
    <row r="49" customFormat="false" ht="15" hidden="false" customHeight="false" outlineLevel="0" collapsed="false">
      <c r="A49" s="164" t="s">
        <v>62</v>
      </c>
      <c r="B49" s="165" t="s">
        <v>63</v>
      </c>
      <c r="C49" s="164" t="s">
        <v>11</v>
      </c>
      <c r="D49" s="165" t="s">
        <v>20</v>
      </c>
      <c r="E49" s="165" t="s">
        <v>410</v>
      </c>
      <c r="F49" s="198" t="n">
        <v>711834</v>
      </c>
      <c r="G49" s="198" t="n">
        <f aca="false">F49/12</f>
        <v>59319.5</v>
      </c>
      <c r="H49" s="199" t="n">
        <f aca="false">F49/USDINR</f>
        <v>8524.95808383234</v>
      </c>
      <c r="I49" s="199" t="n">
        <f aca="false">H49/12</f>
        <v>710.413173652695</v>
      </c>
    </row>
    <row r="50" customFormat="false" ht="15" hidden="false" customHeight="false" outlineLevel="0" collapsed="false">
      <c r="A50" s="168" t="s">
        <v>411</v>
      </c>
      <c r="B50" s="169" t="s">
        <v>412</v>
      </c>
      <c r="C50" s="168" t="s">
        <v>11</v>
      </c>
      <c r="D50" s="169" t="s">
        <v>20</v>
      </c>
      <c r="E50" s="169" t="s">
        <v>413</v>
      </c>
      <c r="F50" s="200" t="n">
        <v>848728</v>
      </c>
      <c r="G50" s="200" t="n">
        <f aca="false">F50/12</f>
        <v>70727.3333333333</v>
      </c>
      <c r="H50" s="201" t="n">
        <f aca="false">F50/USDINR</f>
        <v>10164.4071856287</v>
      </c>
      <c r="I50" s="201" t="n">
        <f aca="false">H50/12</f>
        <v>847.033932135729</v>
      </c>
    </row>
    <row r="51" customFormat="false" ht="15" hidden="false" customHeight="false" outlineLevel="0" collapsed="false">
      <c r="A51" s="164" t="s">
        <v>414</v>
      </c>
      <c r="B51" s="165" t="s">
        <v>415</v>
      </c>
      <c r="C51" s="164" t="s">
        <v>11</v>
      </c>
      <c r="D51" s="165" t="s">
        <v>20</v>
      </c>
      <c r="E51" s="165" t="s">
        <v>413</v>
      </c>
      <c r="F51" s="198" t="n">
        <v>999889</v>
      </c>
      <c r="G51" s="198" t="n">
        <f aca="false">F51/12</f>
        <v>83324.0833333333</v>
      </c>
      <c r="H51" s="199" t="n">
        <f aca="false">F51/USDINR</f>
        <v>11974.7185628743</v>
      </c>
      <c r="I51" s="199" t="n">
        <f aca="false">H51/12</f>
        <v>997.893213572854</v>
      </c>
    </row>
    <row r="52" customFormat="false" ht="15" hidden="false" customHeight="false" outlineLevel="0" collapsed="false">
      <c r="A52" s="168" t="s">
        <v>76</v>
      </c>
      <c r="B52" s="169" t="s">
        <v>77</v>
      </c>
      <c r="C52" s="168" t="s">
        <v>11</v>
      </c>
      <c r="D52" s="169" t="s">
        <v>20</v>
      </c>
      <c r="E52" s="169" t="s">
        <v>417</v>
      </c>
      <c r="F52" s="200" t="n">
        <v>524880</v>
      </c>
      <c r="G52" s="200" t="n">
        <f aca="false">F52/12</f>
        <v>43740</v>
      </c>
      <c r="H52" s="201" t="n">
        <f aca="false">F52/USDINR</f>
        <v>6285.9880239521</v>
      </c>
      <c r="I52" s="201" t="n">
        <f aca="false">H52/12</f>
        <v>523.832335329341</v>
      </c>
    </row>
    <row r="53" customFormat="false" ht="15" hidden="false" customHeight="false" outlineLevel="0" collapsed="false">
      <c r="A53" s="164" t="s">
        <v>56</v>
      </c>
      <c r="B53" s="165" t="s">
        <v>57</v>
      </c>
      <c r="C53" s="164" t="s">
        <v>11</v>
      </c>
      <c r="D53" s="165" t="s">
        <v>20</v>
      </c>
      <c r="E53" s="165" t="s">
        <v>417</v>
      </c>
      <c r="F53" s="198" t="n">
        <v>441144</v>
      </c>
      <c r="G53" s="198" t="n">
        <f aca="false">F53/12</f>
        <v>36762</v>
      </c>
      <c r="H53" s="199" t="n">
        <f aca="false">F53/USDINR</f>
        <v>5283.16167664671</v>
      </c>
      <c r="I53" s="199" t="n">
        <f aca="false">H53/12</f>
        <v>440.263473053892</v>
      </c>
    </row>
    <row r="54" customFormat="false" ht="15" hidden="false" customHeight="false" outlineLevel="0" collapsed="false">
      <c r="A54" s="168" t="s">
        <v>78</v>
      </c>
      <c r="B54" s="169" t="s">
        <v>79</v>
      </c>
      <c r="C54" s="168" t="s">
        <v>11</v>
      </c>
      <c r="D54" s="169" t="s">
        <v>21</v>
      </c>
      <c r="E54" s="169" t="s">
        <v>419</v>
      </c>
      <c r="F54" s="200" t="n">
        <v>910244</v>
      </c>
      <c r="G54" s="200" t="n">
        <f aca="false">F54/12</f>
        <v>75853.6666666667</v>
      </c>
      <c r="H54" s="201" t="n">
        <f aca="false">F54/USDINR</f>
        <v>10901.125748503</v>
      </c>
      <c r="I54" s="201" t="n">
        <f aca="false">H54/12</f>
        <v>908.427145708583</v>
      </c>
    </row>
    <row r="55" customFormat="false" ht="15" hidden="false" customHeight="false" outlineLevel="0" collapsed="false">
      <c r="A55" s="164" t="s">
        <v>90</v>
      </c>
      <c r="B55" s="165" t="s">
        <v>91</v>
      </c>
      <c r="C55" s="164" t="s">
        <v>11</v>
      </c>
      <c r="D55" s="165" t="s">
        <v>21</v>
      </c>
      <c r="E55" s="165" t="s">
        <v>419</v>
      </c>
      <c r="F55" s="198" t="n">
        <v>909571</v>
      </c>
      <c r="G55" s="198" t="n">
        <f aca="false">F55/12</f>
        <v>75797.5833333333</v>
      </c>
      <c r="H55" s="199" t="n">
        <f aca="false">F55/USDINR</f>
        <v>10893.0658682635</v>
      </c>
      <c r="I55" s="199" t="n">
        <f aca="false">H55/12</f>
        <v>907.755489021956</v>
      </c>
    </row>
    <row r="56" customFormat="false" ht="15" hidden="false" customHeight="false" outlineLevel="0" collapsed="false">
      <c r="A56" s="168" t="s">
        <v>421</v>
      </c>
      <c r="B56" s="169" t="s">
        <v>422</v>
      </c>
      <c r="C56" s="168" t="s">
        <v>11</v>
      </c>
      <c r="D56" s="169" t="s">
        <v>21</v>
      </c>
      <c r="E56" s="169" t="s">
        <v>419</v>
      </c>
      <c r="F56" s="200" t="n">
        <v>623005</v>
      </c>
      <c r="G56" s="200" t="n">
        <f aca="false">F56/12</f>
        <v>51917.0833333333</v>
      </c>
      <c r="H56" s="201" t="n">
        <f aca="false">F56/USDINR</f>
        <v>7461.1377245509</v>
      </c>
      <c r="I56" s="201" t="n">
        <f aca="false">H56/12</f>
        <v>621.761477045908</v>
      </c>
    </row>
    <row r="57" customFormat="false" ht="15" hidden="false" customHeight="false" outlineLevel="0" collapsed="false">
      <c r="A57" s="164" t="s">
        <v>423</v>
      </c>
      <c r="B57" s="165" t="s">
        <v>424</v>
      </c>
      <c r="C57" s="164" t="s">
        <v>11</v>
      </c>
      <c r="D57" s="165" t="s">
        <v>21</v>
      </c>
      <c r="E57" s="165" t="s">
        <v>419</v>
      </c>
      <c r="F57" s="198" t="n">
        <v>1015032</v>
      </c>
      <c r="G57" s="198" t="n">
        <f aca="false">F57/12</f>
        <v>84586</v>
      </c>
      <c r="H57" s="199" t="n">
        <f aca="false">F57/USDINR</f>
        <v>12156.0718562874</v>
      </c>
      <c r="I57" s="199" t="n">
        <f aca="false">H57/12</f>
        <v>1013.00598802395</v>
      </c>
    </row>
    <row r="58" customFormat="false" ht="15" hidden="false" customHeight="false" outlineLevel="0" collapsed="false">
      <c r="A58" s="168" t="s">
        <v>425</v>
      </c>
      <c r="B58" s="169" t="s">
        <v>426</v>
      </c>
      <c r="C58" s="168" t="s">
        <v>11</v>
      </c>
      <c r="D58" s="169" t="s">
        <v>21</v>
      </c>
      <c r="E58" s="169" t="s">
        <v>427</v>
      </c>
      <c r="F58" s="200" t="n">
        <v>3075627</v>
      </c>
      <c r="G58" s="200" t="n">
        <f aca="false">F58/12</f>
        <v>256302.25</v>
      </c>
      <c r="H58" s="201" t="n">
        <f aca="false">F58/USDINR</f>
        <v>36833.8562874252</v>
      </c>
      <c r="I58" s="201" t="n">
        <f aca="false">H58/12</f>
        <v>3069.4880239521</v>
      </c>
    </row>
    <row r="59" customFormat="false" ht="15" hidden="false" customHeight="false" outlineLevel="0" collapsed="false">
      <c r="A59" s="164" t="s">
        <v>428</v>
      </c>
      <c r="B59" s="165" t="s">
        <v>132</v>
      </c>
      <c r="C59" s="164" t="s">
        <v>11</v>
      </c>
      <c r="D59" s="165" t="s">
        <v>21</v>
      </c>
      <c r="E59" s="165" t="s">
        <v>427</v>
      </c>
      <c r="F59" s="198" t="n">
        <v>2516982</v>
      </c>
      <c r="G59" s="198" t="n">
        <f aca="false">F59/12</f>
        <v>209748.5</v>
      </c>
      <c r="H59" s="199" t="n">
        <f aca="false">F59/USDINR</f>
        <v>30143.497005988</v>
      </c>
      <c r="I59" s="199" t="n">
        <f aca="false">H59/12</f>
        <v>2511.95808383234</v>
      </c>
    </row>
    <row r="60" customFormat="false" ht="15" hidden="false" customHeight="false" outlineLevel="0" collapsed="false">
      <c r="A60" s="168" t="s">
        <v>64</v>
      </c>
      <c r="B60" s="169" t="s">
        <v>65</v>
      </c>
      <c r="C60" s="168" t="s">
        <v>11</v>
      </c>
      <c r="D60" s="169" t="s">
        <v>21</v>
      </c>
      <c r="E60" s="169" t="s">
        <v>429</v>
      </c>
      <c r="F60" s="200" t="n">
        <v>522528</v>
      </c>
      <c r="G60" s="200" t="n">
        <f aca="false">F60/12</f>
        <v>43544</v>
      </c>
      <c r="H60" s="201" t="n">
        <f aca="false">F60/USDINR</f>
        <v>6257.82035928144</v>
      </c>
      <c r="I60" s="201" t="n">
        <f aca="false">H60/12</f>
        <v>521.48502994012</v>
      </c>
    </row>
    <row r="61" customFormat="false" ht="15" hidden="false" customHeight="false" outlineLevel="0" collapsed="false">
      <c r="A61" s="164" t="s">
        <v>92</v>
      </c>
      <c r="B61" s="165" t="s">
        <v>93</v>
      </c>
      <c r="C61" s="164" t="s">
        <v>11</v>
      </c>
      <c r="D61" s="165" t="s">
        <v>22</v>
      </c>
      <c r="E61" s="165" t="s">
        <v>430</v>
      </c>
      <c r="F61" s="198" t="n">
        <v>3938225</v>
      </c>
      <c r="G61" s="198" t="n">
        <f aca="false">F61/12</f>
        <v>328185.416666667</v>
      </c>
      <c r="H61" s="199" t="n">
        <f aca="false">F61/USDINR</f>
        <v>47164.371257485</v>
      </c>
      <c r="I61" s="199" t="n">
        <f aca="false">H61/12</f>
        <v>3930.36427145709</v>
      </c>
    </row>
    <row r="62" customFormat="false" ht="15" hidden="false" customHeight="false" outlineLevel="0" collapsed="false">
      <c r="A62" s="168" t="s">
        <v>70</v>
      </c>
      <c r="B62" s="169" t="s">
        <v>71</v>
      </c>
      <c r="C62" s="168" t="s">
        <v>11</v>
      </c>
      <c r="D62" s="169" t="s">
        <v>22</v>
      </c>
      <c r="E62" s="169" t="s">
        <v>430</v>
      </c>
      <c r="F62" s="200" t="n">
        <v>2602853</v>
      </c>
      <c r="G62" s="200" t="n">
        <f aca="false">F62/12</f>
        <v>216904.416666667</v>
      </c>
      <c r="H62" s="201" t="n">
        <f aca="false">F62/USDINR</f>
        <v>31171.8922155689</v>
      </c>
      <c r="I62" s="201" t="n">
        <f aca="false">H62/12</f>
        <v>2597.65768463074</v>
      </c>
    </row>
    <row r="63" customFormat="false" ht="15" hidden="false" customHeight="false" outlineLevel="0" collapsed="false">
      <c r="A63" s="164" t="s">
        <v>431</v>
      </c>
      <c r="B63" s="165" t="s">
        <v>432</v>
      </c>
      <c r="C63" s="164" t="s">
        <v>11</v>
      </c>
      <c r="D63" s="165" t="s">
        <v>22</v>
      </c>
      <c r="E63" s="165" t="s">
        <v>433</v>
      </c>
      <c r="F63" s="198" t="n">
        <v>1120856</v>
      </c>
      <c r="G63" s="198" t="n">
        <f aca="false">F63/12</f>
        <v>93404.6666666667</v>
      </c>
      <c r="H63" s="199" t="n">
        <f aca="false">F63/USDINR</f>
        <v>13423.4251497006</v>
      </c>
      <c r="I63" s="199" t="n">
        <f aca="false">H63/12</f>
        <v>1118.61876247505</v>
      </c>
    </row>
    <row r="64" customFormat="false" ht="15" hidden="false" customHeight="false" outlineLevel="0" collapsed="false">
      <c r="A64" s="168" t="s">
        <v>435</v>
      </c>
      <c r="B64" s="169" t="s">
        <v>436</v>
      </c>
      <c r="C64" s="168" t="s">
        <v>11</v>
      </c>
      <c r="D64" s="169" t="s">
        <v>22</v>
      </c>
      <c r="E64" s="169" t="s">
        <v>433</v>
      </c>
      <c r="F64" s="200" t="n">
        <v>900096</v>
      </c>
      <c r="G64" s="200" t="n">
        <f aca="false">F64/12</f>
        <v>75008</v>
      </c>
      <c r="H64" s="201" t="n">
        <f aca="false">F64/USDINR</f>
        <v>10779.5928143713</v>
      </c>
      <c r="I64" s="201" t="n">
        <f aca="false">H64/12</f>
        <v>898.299401197605</v>
      </c>
    </row>
    <row r="65" customFormat="false" ht="15" hidden="false" customHeight="false" outlineLevel="0" collapsed="false">
      <c r="A65" s="164" t="s">
        <v>438</v>
      </c>
      <c r="B65" s="165" t="s">
        <v>439</v>
      </c>
      <c r="C65" s="164" t="s">
        <v>11</v>
      </c>
      <c r="D65" s="165" t="s">
        <v>22</v>
      </c>
      <c r="E65" s="165" t="s">
        <v>430</v>
      </c>
      <c r="F65" s="198" t="n">
        <v>2982593</v>
      </c>
      <c r="G65" s="198" t="n">
        <f aca="false">F65/12</f>
        <v>248549.416666667</v>
      </c>
      <c r="H65" s="199" t="n">
        <f aca="false">F65/USDINR</f>
        <v>35719.6766467066</v>
      </c>
      <c r="I65" s="199" t="n">
        <f aca="false">H65/12</f>
        <v>2976.63972055888</v>
      </c>
    </row>
    <row r="66" customFormat="false" ht="15" hidden="false" customHeight="false" outlineLevel="0" collapsed="false">
      <c r="A66" s="168" t="s">
        <v>60</v>
      </c>
      <c r="B66" s="169" t="s">
        <v>61</v>
      </c>
      <c r="C66" s="168" t="s">
        <v>11</v>
      </c>
      <c r="D66" s="169" t="s">
        <v>22</v>
      </c>
      <c r="E66" s="169" t="s">
        <v>440</v>
      </c>
      <c r="F66" s="200" t="n">
        <v>538704</v>
      </c>
      <c r="G66" s="200" t="n">
        <f aca="false">F66/12</f>
        <v>44892</v>
      </c>
      <c r="H66" s="201" t="n">
        <f aca="false">F66/USDINR</f>
        <v>6451.54491017964</v>
      </c>
      <c r="I66" s="201" t="n">
        <f aca="false">H66/12</f>
        <v>537.62874251497</v>
      </c>
    </row>
    <row r="67" customFormat="false" ht="15" hidden="false" customHeight="false" outlineLevel="0" collapsed="false">
      <c r="A67" s="164" t="s">
        <v>58</v>
      </c>
      <c r="B67" s="165" t="s">
        <v>59</v>
      </c>
      <c r="C67" s="164" t="s">
        <v>11</v>
      </c>
      <c r="D67" s="165" t="s">
        <v>23</v>
      </c>
      <c r="E67" s="165" t="s">
        <v>441</v>
      </c>
      <c r="F67" s="198" t="n">
        <v>2538870</v>
      </c>
      <c r="G67" s="198" t="n">
        <f aca="false">F67/12</f>
        <v>211572.5</v>
      </c>
      <c r="H67" s="199" t="n">
        <f aca="false">F67/USDINR</f>
        <v>30405.628742515</v>
      </c>
      <c r="I67" s="199" t="n">
        <f aca="false">H67/12</f>
        <v>2533.80239520958</v>
      </c>
    </row>
    <row r="68" customFormat="false" ht="15" hidden="false" customHeight="false" outlineLevel="0" collapsed="false">
      <c r="A68" s="168" t="s">
        <v>94</v>
      </c>
      <c r="B68" s="169" t="s">
        <v>95</v>
      </c>
      <c r="C68" s="168" t="s">
        <v>11</v>
      </c>
      <c r="D68" s="169" t="s">
        <v>23</v>
      </c>
      <c r="E68" s="169" t="s">
        <v>441</v>
      </c>
      <c r="F68" s="200" t="n">
        <v>2259285</v>
      </c>
      <c r="G68" s="200" t="n">
        <f aca="false">F68/12</f>
        <v>188273.75</v>
      </c>
      <c r="H68" s="201" t="n">
        <f aca="false">F68/USDINR</f>
        <v>27057.3053892216</v>
      </c>
      <c r="I68" s="201" t="n">
        <f aca="false">H68/12</f>
        <v>2254.7754491018</v>
      </c>
    </row>
    <row r="69" customFormat="false" ht="15" hidden="false" customHeight="false" outlineLevel="0" collapsed="false">
      <c r="A69" s="164" t="s">
        <v>444</v>
      </c>
      <c r="B69" s="165" t="s">
        <v>445</v>
      </c>
      <c r="C69" s="164" t="s">
        <v>11</v>
      </c>
      <c r="D69" s="165" t="s">
        <v>23</v>
      </c>
      <c r="E69" s="165" t="s">
        <v>441</v>
      </c>
      <c r="F69" s="198" t="n">
        <v>2198735</v>
      </c>
      <c r="G69" s="198" t="n">
        <f aca="false">F69/12</f>
        <v>183227.916666667</v>
      </c>
      <c r="H69" s="199" t="n">
        <f aca="false">F69/USDINR</f>
        <v>26332.1556886228</v>
      </c>
      <c r="I69" s="199" t="n">
        <f aca="false">H69/12</f>
        <v>2194.34630738523</v>
      </c>
    </row>
    <row r="70" customFormat="false" ht="15" hidden="false" customHeight="false" outlineLevel="0" collapsed="false">
      <c r="A70" s="168" t="s">
        <v>446</v>
      </c>
      <c r="B70" s="169" t="s">
        <v>134</v>
      </c>
      <c r="C70" s="168" t="s">
        <v>11</v>
      </c>
      <c r="D70" s="169" t="s">
        <v>23</v>
      </c>
      <c r="E70" s="169" t="s">
        <v>441</v>
      </c>
      <c r="F70" s="200" t="n">
        <v>2325602</v>
      </c>
      <c r="G70" s="200" t="n">
        <f aca="false">F70/12</f>
        <v>193800.166666667</v>
      </c>
      <c r="H70" s="201" t="n">
        <f aca="false">F70/USDINR</f>
        <v>27851.5209580838</v>
      </c>
      <c r="I70" s="201" t="n">
        <f aca="false">H70/12</f>
        <v>2320.96007984032</v>
      </c>
    </row>
    <row r="71" customFormat="false" ht="15" hidden="false" customHeight="false" outlineLevel="0" collapsed="false">
      <c r="A71" s="164" t="s">
        <v>447</v>
      </c>
      <c r="B71" s="165" t="s">
        <v>448</v>
      </c>
      <c r="C71" s="164" t="s">
        <v>11</v>
      </c>
      <c r="D71" s="165" t="s">
        <v>23</v>
      </c>
      <c r="E71" s="165" t="s">
        <v>449</v>
      </c>
      <c r="F71" s="198" t="n">
        <v>566496</v>
      </c>
      <c r="G71" s="198" t="n">
        <f aca="false">F71/12</f>
        <v>47208</v>
      </c>
      <c r="H71" s="199" t="n">
        <f aca="false">F71/USDINR</f>
        <v>6784.38323353293</v>
      </c>
      <c r="I71" s="199" t="n">
        <f aca="false">H71/12</f>
        <v>565.365269461078</v>
      </c>
    </row>
    <row r="72" customFormat="false" ht="15" hidden="false" customHeight="false" outlineLevel="0" collapsed="false">
      <c r="A72" s="168" t="s">
        <v>158</v>
      </c>
      <c r="B72" s="169" t="s">
        <v>128</v>
      </c>
      <c r="C72" s="168" t="s">
        <v>11</v>
      </c>
      <c r="D72" s="169" t="s">
        <v>24</v>
      </c>
      <c r="E72" s="169" t="s">
        <v>450</v>
      </c>
      <c r="F72" s="200" t="n">
        <v>743423</v>
      </c>
      <c r="G72" s="200" t="n">
        <f aca="false">F72/12</f>
        <v>61951.9166666667</v>
      </c>
      <c r="H72" s="201" t="n">
        <f aca="false">F72/USDINR</f>
        <v>8903.26946107784</v>
      </c>
      <c r="I72" s="201" t="n">
        <f aca="false">H72/12</f>
        <v>741.939121756487</v>
      </c>
    </row>
    <row r="73" customFormat="false" ht="15" hidden="false" customHeight="false" outlineLevel="0" collapsed="false">
      <c r="A73" s="164" t="s">
        <v>159</v>
      </c>
      <c r="B73" s="165" t="s">
        <v>160</v>
      </c>
      <c r="C73" s="164" t="s">
        <v>11</v>
      </c>
      <c r="D73" s="165" t="s">
        <v>24</v>
      </c>
      <c r="E73" s="165" t="s">
        <v>451</v>
      </c>
      <c r="F73" s="198" t="n">
        <v>3817531</v>
      </c>
      <c r="G73" s="198" t="n">
        <f aca="false">F73/12</f>
        <v>318127.583333333</v>
      </c>
      <c r="H73" s="199" t="n">
        <f aca="false">F73/USDINR</f>
        <v>45718.9341317365</v>
      </c>
      <c r="I73" s="199" t="n">
        <f aca="false">H73/12</f>
        <v>3809.91117764471</v>
      </c>
    </row>
    <row r="74" customFormat="false" ht="15" hidden="false" customHeight="false" outlineLevel="0" collapsed="false">
      <c r="A74" s="168" t="s">
        <v>452</v>
      </c>
      <c r="B74" s="169" t="s">
        <v>453</v>
      </c>
      <c r="C74" s="168" t="s">
        <v>11</v>
      </c>
      <c r="D74" s="169" t="s">
        <v>24</v>
      </c>
      <c r="E74" s="169" t="s">
        <v>450</v>
      </c>
      <c r="F74" s="200" t="n">
        <v>701883</v>
      </c>
      <c r="G74" s="200" t="n">
        <f aca="false">F74/12</f>
        <v>58490.25</v>
      </c>
      <c r="H74" s="201" t="n">
        <f aca="false">F74/USDINR</f>
        <v>8405.78443113773</v>
      </c>
      <c r="I74" s="201" t="n">
        <f aca="false">H74/12</f>
        <v>700.482035928144</v>
      </c>
    </row>
    <row r="75" customFormat="false" ht="15" hidden="false" customHeight="false" outlineLevel="0" collapsed="false">
      <c r="A75" s="164" t="s">
        <v>454</v>
      </c>
      <c r="B75" s="165" t="s">
        <v>455</v>
      </c>
      <c r="C75" s="164" t="s">
        <v>11</v>
      </c>
      <c r="D75" s="165" t="s">
        <v>24</v>
      </c>
      <c r="E75" s="165" t="s">
        <v>451</v>
      </c>
      <c r="F75" s="198" t="n">
        <v>3815875</v>
      </c>
      <c r="G75" s="198" t="n">
        <f aca="false">F75/12</f>
        <v>317989.583333333</v>
      </c>
      <c r="H75" s="199" t="n">
        <f aca="false">F75/USDINR</f>
        <v>45699.1017964072</v>
      </c>
      <c r="I75" s="199" t="n">
        <f aca="false">H75/12</f>
        <v>3808.25848303393</v>
      </c>
    </row>
    <row r="76" customFormat="false" ht="15" hidden="false" customHeight="false" outlineLevel="0" collapsed="false">
      <c r="A76" s="168" t="s">
        <v>456</v>
      </c>
      <c r="B76" s="169" t="s">
        <v>69</v>
      </c>
      <c r="C76" s="168" t="s">
        <v>11</v>
      </c>
      <c r="D76" s="169" t="s">
        <v>24</v>
      </c>
      <c r="E76" s="169" t="s">
        <v>451</v>
      </c>
      <c r="F76" s="200" t="n">
        <v>3855474</v>
      </c>
      <c r="G76" s="200" t="n">
        <f aca="false">F76/12</f>
        <v>321289.5</v>
      </c>
      <c r="H76" s="201" t="n">
        <f aca="false">F76/USDINR</f>
        <v>46173.3413173653</v>
      </c>
      <c r="I76" s="201" t="n">
        <f aca="false">H76/12</f>
        <v>3847.77844311377</v>
      </c>
    </row>
    <row r="77" customFormat="false" ht="15" hidden="false" customHeight="false" outlineLevel="0" collapsed="false">
      <c r="A77" s="164" t="s">
        <v>458</v>
      </c>
      <c r="B77" s="165" t="s">
        <v>459</v>
      </c>
      <c r="C77" s="164" t="s">
        <v>11</v>
      </c>
      <c r="D77" s="165" t="s">
        <v>24</v>
      </c>
      <c r="E77" s="165" t="s">
        <v>451</v>
      </c>
      <c r="F77" s="198" t="n">
        <v>2582675</v>
      </c>
      <c r="G77" s="198" t="n">
        <f aca="false">F77/12</f>
        <v>215222.916666667</v>
      </c>
      <c r="H77" s="199" t="n">
        <f aca="false">F77/USDINR</f>
        <v>30930.2395209581</v>
      </c>
      <c r="I77" s="199" t="n">
        <f aca="false">H77/12</f>
        <v>2577.51996007984</v>
      </c>
    </row>
    <row r="78" customFormat="false" ht="15" hidden="false" customHeight="false" outlineLevel="0" collapsed="false">
      <c r="A78" s="168" t="s">
        <v>460</v>
      </c>
      <c r="B78" s="169" t="s">
        <v>461</v>
      </c>
      <c r="C78" s="168" t="s">
        <v>11</v>
      </c>
      <c r="D78" s="169" t="s">
        <v>24</v>
      </c>
      <c r="E78" s="169" t="s">
        <v>462</v>
      </c>
      <c r="F78" s="200" t="n">
        <v>421476</v>
      </c>
      <c r="G78" s="200" t="n">
        <f aca="false">F78/12</f>
        <v>35123</v>
      </c>
      <c r="H78" s="201" t="n">
        <f aca="false">F78/USDINR</f>
        <v>5047.61676646707</v>
      </c>
      <c r="I78" s="201" t="n">
        <f aca="false">H78/12</f>
        <v>420.634730538922</v>
      </c>
    </row>
    <row r="79" customFormat="false" ht="15" hidden="false" customHeight="false" outlineLevel="0" collapsed="false">
      <c r="A79" s="164" t="s">
        <v>463</v>
      </c>
      <c r="B79" s="165" t="s">
        <v>464</v>
      </c>
      <c r="C79" s="164" t="s">
        <v>11</v>
      </c>
      <c r="D79" s="165" t="s">
        <v>24</v>
      </c>
      <c r="E79" s="165" t="s">
        <v>462</v>
      </c>
      <c r="F79" s="198" t="n">
        <v>473328</v>
      </c>
      <c r="G79" s="198" t="n">
        <f aca="false">F79/12</f>
        <v>39444</v>
      </c>
      <c r="H79" s="199" t="n">
        <f aca="false">F79/USDINR</f>
        <v>5668.59880239521</v>
      </c>
      <c r="I79" s="199" t="n">
        <f aca="false">H79/12</f>
        <v>472.383233532934</v>
      </c>
    </row>
    <row r="80" customFormat="false" ht="15" hidden="false" customHeight="false" outlineLevel="0" collapsed="false">
      <c r="A80" s="168" t="s">
        <v>66</v>
      </c>
      <c r="B80" s="169" t="s">
        <v>67</v>
      </c>
      <c r="C80" s="168" t="s">
        <v>11</v>
      </c>
      <c r="D80" s="169" t="s">
        <v>25</v>
      </c>
      <c r="E80" s="169" t="s">
        <v>465</v>
      </c>
      <c r="F80" s="200" t="n">
        <v>634985</v>
      </c>
      <c r="G80" s="200" t="n">
        <f aca="false">F80/12</f>
        <v>52915.4166666667</v>
      </c>
      <c r="H80" s="201" t="n">
        <f aca="false">F80/USDINR</f>
        <v>7604.61077844311</v>
      </c>
      <c r="I80" s="201" t="n">
        <f aca="false">H80/12</f>
        <v>633.71756487026</v>
      </c>
    </row>
    <row r="81" customFormat="false" ht="15" hidden="false" customHeight="false" outlineLevel="0" collapsed="false">
      <c r="A81" s="164" t="s">
        <v>88</v>
      </c>
      <c r="B81" s="165" t="s">
        <v>89</v>
      </c>
      <c r="C81" s="164" t="s">
        <v>11</v>
      </c>
      <c r="D81" s="165" t="s">
        <v>25</v>
      </c>
      <c r="E81" s="165" t="s">
        <v>466</v>
      </c>
      <c r="F81" s="198" t="n">
        <v>2565169</v>
      </c>
      <c r="G81" s="198" t="n">
        <f aca="false">F81/12</f>
        <v>213764.083333333</v>
      </c>
      <c r="H81" s="199" t="n">
        <f aca="false">F81/USDINR</f>
        <v>30720.5868263473</v>
      </c>
      <c r="I81" s="199" t="n">
        <f aca="false">H81/12</f>
        <v>2560.04890219561</v>
      </c>
    </row>
    <row r="82" customFormat="false" ht="15" hidden="false" customHeight="false" outlineLevel="0" collapsed="false">
      <c r="A82" s="168" t="s">
        <v>467</v>
      </c>
      <c r="B82" s="169" t="s">
        <v>468</v>
      </c>
      <c r="C82" s="168" t="s">
        <v>11</v>
      </c>
      <c r="D82" s="169" t="s">
        <v>25</v>
      </c>
      <c r="E82" s="169" t="s">
        <v>466</v>
      </c>
      <c r="F82" s="200" t="n">
        <v>2075590</v>
      </c>
      <c r="G82" s="200" t="n">
        <f aca="false">F82/12</f>
        <v>172965.833333333</v>
      </c>
      <c r="H82" s="201" t="n">
        <f aca="false">F82/USDINR</f>
        <v>24857.3652694611</v>
      </c>
      <c r="I82" s="201" t="n">
        <f aca="false">H82/12</f>
        <v>2071.44710578842</v>
      </c>
    </row>
    <row r="83" customFormat="false" ht="15" hidden="false" customHeight="false" outlineLevel="0" collapsed="false">
      <c r="A83" s="164" t="s">
        <v>469</v>
      </c>
      <c r="B83" s="165" t="s">
        <v>470</v>
      </c>
      <c r="C83" s="164" t="s">
        <v>11</v>
      </c>
      <c r="D83" s="165" t="s">
        <v>25</v>
      </c>
      <c r="E83" s="165" t="s">
        <v>466</v>
      </c>
      <c r="F83" s="198" t="n">
        <v>1989023</v>
      </c>
      <c r="G83" s="198" t="n">
        <f aca="false">F83/12</f>
        <v>165751.916666667</v>
      </c>
      <c r="H83" s="199" t="n">
        <f aca="false">F83/USDINR</f>
        <v>23820.6347305389</v>
      </c>
      <c r="I83" s="199" t="n">
        <f aca="false">H83/12</f>
        <v>1985.05289421158</v>
      </c>
    </row>
    <row r="84" customFormat="false" ht="15" hidden="false" customHeight="false" outlineLevel="0" collapsed="false">
      <c r="A84" s="168" t="s">
        <v>472</v>
      </c>
      <c r="B84" s="169" t="s">
        <v>473</v>
      </c>
      <c r="C84" s="168" t="s">
        <v>11</v>
      </c>
      <c r="D84" s="169" t="s">
        <v>25</v>
      </c>
      <c r="E84" s="169" t="s">
        <v>466</v>
      </c>
      <c r="F84" s="200" t="n">
        <v>2418891</v>
      </c>
      <c r="G84" s="200" t="n">
        <f aca="false">F84/12</f>
        <v>201574.25</v>
      </c>
      <c r="H84" s="201" t="n">
        <f aca="false">F84/USDINR</f>
        <v>28968.754491018</v>
      </c>
      <c r="I84" s="201" t="n">
        <f aca="false">H84/12</f>
        <v>2414.0628742515</v>
      </c>
    </row>
    <row r="85" customFormat="false" ht="15" hidden="false" customHeight="false" outlineLevel="0" collapsed="false">
      <c r="A85" s="164" t="s">
        <v>474</v>
      </c>
      <c r="B85" s="165" t="s">
        <v>475</v>
      </c>
      <c r="C85" s="164" t="s">
        <v>11</v>
      </c>
      <c r="D85" s="165" t="s">
        <v>25</v>
      </c>
      <c r="E85" s="165" t="s">
        <v>476</v>
      </c>
      <c r="F85" s="198" t="n">
        <v>428460</v>
      </c>
      <c r="G85" s="198" t="n">
        <f aca="false">F85/12</f>
        <v>35705</v>
      </c>
      <c r="H85" s="199" t="n">
        <f aca="false">F85/USDINR</f>
        <v>5131.25748502994</v>
      </c>
      <c r="I85" s="199" t="n">
        <f aca="false">H85/12</f>
        <v>427.604790419162</v>
      </c>
    </row>
    <row r="86" customFormat="false" ht="15" hidden="false" customHeight="false" outlineLevel="0" collapsed="false">
      <c r="A86" s="168" t="s">
        <v>480</v>
      </c>
      <c r="B86" s="169" t="s">
        <v>481</v>
      </c>
      <c r="C86" s="168" t="s">
        <v>12</v>
      </c>
      <c r="D86" s="169" t="s">
        <v>15</v>
      </c>
      <c r="E86" s="169" t="s">
        <v>293</v>
      </c>
      <c r="F86" s="200" t="n">
        <f aca="false">H86*USDINR</f>
        <v>19120331</v>
      </c>
      <c r="G86" s="200" t="n">
        <f aca="false">F86/12</f>
        <v>1593360.91666667</v>
      </c>
      <c r="H86" s="201" t="n">
        <v>228986</v>
      </c>
      <c r="I86" s="201" t="n">
        <f aca="false">H86/12</f>
        <v>19082.1666666667</v>
      </c>
    </row>
    <row r="87" customFormat="false" ht="15" hidden="false" customHeight="false" outlineLevel="0" collapsed="false">
      <c r="A87" s="164" t="s">
        <v>482</v>
      </c>
      <c r="B87" s="165" t="s">
        <v>122</v>
      </c>
      <c r="C87" s="164" t="s">
        <v>12</v>
      </c>
      <c r="D87" s="165" t="s">
        <v>16</v>
      </c>
      <c r="E87" s="165" t="s">
        <v>298</v>
      </c>
      <c r="F87" s="198" t="n">
        <f aca="false">H87*USDINR</f>
        <v>19577410</v>
      </c>
      <c r="G87" s="198" t="n">
        <f aca="false">F87/12</f>
        <v>1631450.83333333</v>
      </c>
      <c r="H87" s="199" t="n">
        <v>234460</v>
      </c>
      <c r="I87" s="199" t="n">
        <f aca="false">H87/12</f>
        <v>19538.3333333333</v>
      </c>
    </row>
    <row r="88" customFormat="false" ht="15" hidden="false" customHeight="false" outlineLevel="0" collapsed="false">
      <c r="A88" s="168" t="s">
        <v>483</v>
      </c>
      <c r="B88" s="169" t="s">
        <v>484</v>
      </c>
      <c r="C88" s="168" t="s">
        <v>12</v>
      </c>
      <c r="D88" s="169" t="s">
        <v>20</v>
      </c>
      <c r="E88" s="169" t="s">
        <v>301</v>
      </c>
      <c r="F88" s="200" t="n">
        <f aca="false">H88*USDINR</f>
        <v>16952253.5</v>
      </c>
      <c r="G88" s="200" t="n">
        <f aca="false">F88/12</f>
        <v>1412687.79166667</v>
      </c>
      <c r="H88" s="201" t="n">
        <v>203021</v>
      </c>
      <c r="I88" s="201" t="n">
        <f aca="false">H88/12</f>
        <v>16918.4166666667</v>
      </c>
    </row>
    <row r="89" customFormat="false" ht="15" hidden="false" customHeight="false" outlineLevel="0" collapsed="false">
      <c r="A89" s="164" t="s">
        <v>485</v>
      </c>
      <c r="B89" s="165" t="s">
        <v>486</v>
      </c>
      <c r="C89" s="164" t="s">
        <v>12</v>
      </c>
      <c r="D89" s="165" t="s">
        <v>21</v>
      </c>
      <c r="E89" s="165" t="s">
        <v>305</v>
      </c>
      <c r="F89" s="198" t="n">
        <f aca="false">H89*USDINR</f>
        <v>25270189.5</v>
      </c>
      <c r="G89" s="198" t="n">
        <f aca="false">F89/12</f>
        <v>2105849.125</v>
      </c>
      <c r="H89" s="199" t="n">
        <v>302637</v>
      </c>
      <c r="I89" s="199" t="n">
        <f aca="false">H89/12</f>
        <v>25219.75</v>
      </c>
    </row>
    <row r="90" customFormat="false" ht="15" hidden="false" customHeight="false" outlineLevel="0" collapsed="false">
      <c r="A90" s="168" t="s">
        <v>488</v>
      </c>
      <c r="B90" s="169" t="s">
        <v>489</v>
      </c>
      <c r="C90" s="168" t="s">
        <v>12</v>
      </c>
      <c r="D90" s="169" t="s">
        <v>22</v>
      </c>
      <c r="E90" s="169" t="s">
        <v>309</v>
      </c>
      <c r="F90" s="200" t="n">
        <f aca="false">H90*USDINR</f>
        <v>23767774</v>
      </c>
      <c r="G90" s="200" t="n">
        <f aca="false">F90/12</f>
        <v>1980647.83333333</v>
      </c>
      <c r="H90" s="201" t="n">
        <v>284644</v>
      </c>
      <c r="I90" s="201" t="n">
        <f aca="false">H90/12</f>
        <v>23720.3333333333</v>
      </c>
    </row>
    <row r="91" customFormat="false" ht="15" hidden="false" customHeight="false" outlineLevel="0" collapsed="false">
      <c r="A91" s="164" t="s">
        <v>490</v>
      </c>
      <c r="B91" s="165" t="s">
        <v>491</v>
      </c>
      <c r="C91" s="164" t="s">
        <v>12</v>
      </c>
      <c r="D91" s="165" t="s">
        <v>23</v>
      </c>
      <c r="E91" s="165" t="s">
        <v>313</v>
      </c>
      <c r="F91" s="198" t="n">
        <f aca="false">H91*USDINR</f>
        <v>32682067</v>
      </c>
      <c r="G91" s="198" t="n">
        <f aca="false">F91/12</f>
        <v>2723505.58333333</v>
      </c>
      <c r="H91" s="199" t="n">
        <v>391402</v>
      </c>
      <c r="I91" s="199" t="n">
        <f aca="false">H91/12</f>
        <v>32616.8333333333</v>
      </c>
    </row>
    <row r="92" customFormat="false" ht="15" hidden="false" customHeight="false" outlineLevel="0" collapsed="false">
      <c r="A92" s="168" t="s">
        <v>492</v>
      </c>
      <c r="B92" s="169" t="s">
        <v>493</v>
      </c>
      <c r="C92" s="168" t="s">
        <v>12</v>
      </c>
      <c r="D92" s="169" t="s">
        <v>15</v>
      </c>
      <c r="E92" s="169" t="s">
        <v>325</v>
      </c>
      <c r="F92" s="200" t="n">
        <f aca="false">H92*USDINR</f>
        <v>7846996</v>
      </c>
      <c r="G92" s="200" t="n">
        <f aca="false">F92/12</f>
        <v>653916.333333333</v>
      </c>
      <c r="H92" s="201" t="n">
        <v>93976</v>
      </c>
      <c r="I92" s="201" t="n">
        <f aca="false">H92/12</f>
        <v>7831.33333333333</v>
      </c>
    </row>
    <row r="93" customFormat="false" ht="15" hidden="false" customHeight="false" outlineLevel="0" collapsed="false">
      <c r="A93" s="164" t="s">
        <v>494</v>
      </c>
      <c r="B93" s="165" t="s">
        <v>495</v>
      </c>
      <c r="C93" s="164" t="s">
        <v>12</v>
      </c>
      <c r="D93" s="165" t="s">
        <v>16</v>
      </c>
      <c r="E93" s="165" t="s">
        <v>334</v>
      </c>
      <c r="F93" s="198" t="n">
        <f aca="false">H93*USDINR</f>
        <v>12924881.5</v>
      </c>
      <c r="G93" s="198" t="n">
        <f aca="false">F93/12</f>
        <v>1077073.45833333</v>
      </c>
      <c r="H93" s="199" t="n">
        <v>154789</v>
      </c>
      <c r="I93" s="199" t="n">
        <f aca="false">H93/12</f>
        <v>12899.0833333333</v>
      </c>
    </row>
    <row r="94" customFormat="false" ht="15" hidden="false" customHeight="false" outlineLevel="0" collapsed="false">
      <c r="A94" s="168" t="s">
        <v>496</v>
      </c>
      <c r="B94" s="169" t="s">
        <v>114</v>
      </c>
      <c r="C94" s="168" t="s">
        <v>12</v>
      </c>
      <c r="D94" s="169" t="s">
        <v>16</v>
      </c>
      <c r="E94" s="169" t="s">
        <v>334</v>
      </c>
      <c r="F94" s="200" t="n">
        <f aca="false">H94*USDINR</f>
        <v>12765897.5</v>
      </c>
      <c r="G94" s="200" t="n">
        <f aca="false">F94/12</f>
        <v>1063824.79166667</v>
      </c>
      <c r="H94" s="201" t="n">
        <v>152885</v>
      </c>
      <c r="I94" s="201" t="n">
        <f aca="false">H94/12</f>
        <v>12740.4166666667</v>
      </c>
    </row>
    <row r="95" customFormat="false" ht="15" hidden="false" customHeight="false" outlineLevel="0" collapsed="false">
      <c r="A95" s="164" t="s">
        <v>497</v>
      </c>
      <c r="B95" s="165" t="s">
        <v>498</v>
      </c>
      <c r="C95" s="164" t="s">
        <v>12</v>
      </c>
      <c r="D95" s="165" t="s">
        <v>20</v>
      </c>
      <c r="E95" s="165" t="s">
        <v>340</v>
      </c>
      <c r="F95" s="198" t="n">
        <f aca="false">H95*USDINR</f>
        <v>11511310</v>
      </c>
      <c r="G95" s="198" t="n">
        <f aca="false">F95/12</f>
        <v>959275.833333333</v>
      </c>
      <c r="H95" s="199" t="n">
        <v>137860</v>
      </c>
      <c r="I95" s="199" t="n">
        <f aca="false">H95/12</f>
        <v>11488.3333333333</v>
      </c>
    </row>
    <row r="96" customFormat="false" ht="15" hidden="false" customHeight="false" outlineLevel="0" collapsed="false">
      <c r="A96" s="168" t="s">
        <v>499</v>
      </c>
      <c r="B96" s="169" t="s">
        <v>500</v>
      </c>
      <c r="C96" s="168" t="s">
        <v>12</v>
      </c>
      <c r="D96" s="169" t="s">
        <v>20</v>
      </c>
      <c r="E96" s="169" t="s">
        <v>340</v>
      </c>
      <c r="F96" s="200" t="n">
        <f aca="false">H96*USDINR</f>
        <v>10920380.5</v>
      </c>
      <c r="G96" s="200" t="n">
        <f aca="false">F96/12</f>
        <v>910031.708333333</v>
      </c>
      <c r="H96" s="201" t="n">
        <v>130783</v>
      </c>
      <c r="I96" s="201" t="n">
        <f aca="false">H96/12</f>
        <v>10898.5833333333</v>
      </c>
    </row>
    <row r="97" customFormat="false" ht="15" hidden="false" customHeight="false" outlineLevel="0" collapsed="false">
      <c r="A97" s="164" t="s">
        <v>501</v>
      </c>
      <c r="B97" s="165" t="s">
        <v>502</v>
      </c>
      <c r="C97" s="164" t="s">
        <v>12</v>
      </c>
      <c r="D97" s="165" t="s">
        <v>21</v>
      </c>
      <c r="E97" s="165" t="s">
        <v>349</v>
      </c>
      <c r="F97" s="198" t="n">
        <f aca="false">H97*USDINR</f>
        <v>13096140</v>
      </c>
      <c r="G97" s="198" t="n">
        <f aca="false">F97/12</f>
        <v>1091345</v>
      </c>
      <c r="H97" s="199" t="n">
        <v>156840</v>
      </c>
      <c r="I97" s="199" t="n">
        <f aca="false">H97/12</f>
        <v>13070</v>
      </c>
    </row>
    <row r="98" customFormat="false" ht="15" hidden="false" customHeight="false" outlineLevel="0" collapsed="false">
      <c r="A98" s="168" t="s">
        <v>503</v>
      </c>
      <c r="B98" s="169" t="s">
        <v>504</v>
      </c>
      <c r="C98" s="168" t="s">
        <v>12</v>
      </c>
      <c r="D98" s="169" t="s">
        <v>21</v>
      </c>
      <c r="E98" s="169" t="s">
        <v>349</v>
      </c>
      <c r="F98" s="200" t="n">
        <f aca="false">H98*USDINR</f>
        <v>16691900.5</v>
      </c>
      <c r="G98" s="200" t="n">
        <f aca="false">F98/12</f>
        <v>1390991.70833333</v>
      </c>
      <c r="H98" s="201" t="n">
        <v>199903</v>
      </c>
      <c r="I98" s="201" t="n">
        <f aca="false">H98/12</f>
        <v>16658.5833333333</v>
      </c>
    </row>
    <row r="99" customFormat="false" ht="15" hidden="false" customHeight="false" outlineLevel="0" collapsed="false">
      <c r="A99" s="164" t="s">
        <v>505</v>
      </c>
      <c r="B99" s="165" t="s">
        <v>126</v>
      </c>
      <c r="C99" s="164" t="s">
        <v>12</v>
      </c>
      <c r="D99" s="165" t="s">
        <v>22</v>
      </c>
      <c r="E99" s="165" t="s">
        <v>357</v>
      </c>
      <c r="F99" s="198" t="n">
        <f aca="false">H99*USDINR</f>
        <v>8481763</v>
      </c>
      <c r="G99" s="198" t="n">
        <f aca="false">F99/12</f>
        <v>706813.583333333</v>
      </c>
      <c r="H99" s="199" t="n">
        <v>101578</v>
      </c>
      <c r="I99" s="199" t="n">
        <f aca="false">H99/12</f>
        <v>8464.83333333333</v>
      </c>
    </row>
    <row r="100" customFormat="false" ht="15" hidden="false" customHeight="false" outlineLevel="0" collapsed="false">
      <c r="A100" s="168" t="s">
        <v>506</v>
      </c>
      <c r="B100" s="169" t="s">
        <v>504</v>
      </c>
      <c r="C100" s="168" t="s">
        <v>12</v>
      </c>
      <c r="D100" s="169" t="s">
        <v>23</v>
      </c>
      <c r="E100" s="169" t="s">
        <v>365</v>
      </c>
      <c r="F100" s="200" t="n">
        <f aca="false">H100*USDINR</f>
        <v>10800057</v>
      </c>
      <c r="G100" s="200" t="n">
        <f aca="false">F100/12</f>
        <v>900004.75</v>
      </c>
      <c r="H100" s="201" t="n">
        <v>129342</v>
      </c>
      <c r="I100" s="201" t="n">
        <f aca="false">H100/12</f>
        <v>10778.5</v>
      </c>
    </row>
    <row r="101" customFormat="false" ht="15" hidden="false" customHeight="false" outlineLevel="0" collapsed="false">
      <c r="A101" s="164" t="s">
        <v>507</v>
      </c>
      <c r="B101" s="165" t="s">
        <v>508</v>
      </c>
      <c r="C101" s="164" t="s">
        <v>12</v>
      </c>
      <c r="D101" s="165" t="s">
        <v>23</v>
      </c>
      <c r="E101" s="165" t="s">
        <v>365</v>
      </c>
      <c r="F101" s="198" t="n">
        <f aca="false">H101*USDINR</f>
        <v>13270321</v>
      </c>
      <c r="G101" s="198" t="n">
        <f aca="false">F101/12</f>
        <v>1105860.08333333</v>
      </c>
      <c r="H101" s="199" t="n">
        <v>158926</v>
      </c>
      <c r="I101" s="199" t="n">
        <f aca="false">H101/12</f>
        <v>13243.8333333333</v>
      </c>
    </row>
    <row r="102" customFormat="false" ht="15" hidden="false" customHeight="false" outlineLevel="0" collapsed="false">
      <c r="A102" s="168" t="s">
        <v>86</v>
      </c>
      <c r="B102" s="169" t="s">
        <v>87</v>
      </c>
      <c r="C102" s="168" t="s">
        <v>12</v>
      </c>
      <c r="D102" s="169" t="s">
        <v>15</v>
      </c>
      <c r="E102" s="169" t="s">
        <v>387</v>
      </c>
      <c r="F102" s="200" t="n">
        <f aca="false">H102*USDINR</f>
        <v>3849266.5</v>
      </c>
      <c r="G102" s="200" t="n">
        <f aca="false">F102/12</f>
        <v>320772.208333333</v>
      </c>
      <c r="H102" s="201" t="n">
        <v>46099</v>
      </c>
      <c r="I102" s="201" t="n">
        <f aca="false">H102/12</f>
        <v>3841.58333333333</v>
      </c>
    </row>
    <row r="103" customFormat="false" ht="15" hidden="false" customHeight="false" outlineLevel="0" collapsed="false">
      <c r="A103" s="164" t="s">
        <v>510</v>
      </c>
      <c r="B103" s="165" t="s">
        <v>511</v>
      </c>
      <c r="C103" s="164" t="s">
        <v>12</v>
      </c>
      <c r="D103" s="165" t="s">
        <v>15</v>
      </c>
      <c r="E103" s="165" t="s">
        <v>387</v>
      </c>
      <c r="F103" s="198" t="n">
        <f aca="false">H103*USDINR</f>
        <v>3237587.25</v>
      </c>
      <c r="G103" s="198" t="n">
        <f aca="false">F103/12</f>
        <v>269798.9375</v>
      </c>
      <c r="H103" s="199" t="n">
        <v>38773.5</v>
      </c>
      <c r="I103" s="199" t="n">
        <f aca="false">H103/12</f>
        <v>3231.125</v>
      </c>
    </row>
    <row r="104" customFormat="false" ht="15" hidden="false" customHeight="false" outlineLevel="0" collapsed="false">
      <c r="A104" s="168" t="s">
        <v>82</v>
      </c>
      <c r="B104" s="169" t="s">
        <v>83</v>
      </c>
      <c r="C104" s="168" t="s">
        <v>12</v>
      </c>
      <c r="D104" s="169" t="s">
        <v>16</v>
      </c>
      <c r="E104" s="169" t="s">
        <v>398</v>
      </c>
      <c r="F104" s="200" t="n">
        <f aca="false">H104*USDINR</f>
        <v>8810836.5</v>
      </c>
      <c r="G104" s="200" t="n">
        <f aca="false">F104/12</f>
        <v>734236.375</v>
      </c>
      <c r="H104" s="201" t="n">
        <v>105519</v>
      </c>
      <c r="I104" s="201" t="n">
        <f aca="false">H104/12</f>
        <v>8793.25</v>
      </c>
    </row>
    <row r="105" customFormat="false" ht="15" hidden="false" customHeight="false" outlineLevel="0" collapsed="false">
      <c r="A105" s="164" t="s">
        <v>512</v>
      </c>
      <c r="B105" s="165" t="s">
        <v>513</v>
      </c>
      <c r="C105" s="164" t="s">
        <v>12</v>
      </c>
      <c r="D105" s="165" t="s">
        <v>16</v>
      </c>
      <c r="E105" s="165" t="s">
        <v>398</v>
      </c>
      <c r="F105" s="198" t="n">
        <f aca="false">H105*USDINR</f>
        <v>7197741.75</v>
      </c>
      <c r="G105" s="198" t="n">
        <f aca="false">F105/12</f>
        <v>599811.8125</v>
      </c>
      <c r="H105" s="199" t="n">
        <v>86200.5</v>
      </c>
      <c r="I105" s="199" t="n">
        <f aca="false">H105/12</f>
        <v>7183.375</v>
      </c>
    </row>
    <row r="106" customFormat="false" ht="15" hidden="false" customHeight="false" outlineLevel="0" collapsed="false">
      <c r="A106" s="168" t="s">
        <v>514</v>
      </c>
      <c r="B106" s="169" t="s">
        <v>515</v>
      </c>
      <c r="C106" s="168" t="s">
        <v>12</v>
      </c>
      <c r="D106" s="169" t="s">
        <v>16</v>
      </c>
      <c r="E106" s="169" t="s">
        <v>398</v>
      </c>
      <c r="F106" s="200" t="n">
        <f aca="false">H106*USDINR</f>
        <v>9955204</v>
      </c>
      <c r="G106" s="200" t="n">
        <f aca="false">F106/12</f>
        <v>829600.333333333</v>
      </c>
      <c r="H106" s="201" t="n">
        <v>119224</v>
      </c>
      <c r="I106" s="201" t="n">
        <f aca="false">H106/12</f>
        <v>9935.33333333333</v>
      </c>
    </row>
    <row r="107" customFormat="false" ht="15" hidden="false" customHeight="false" outlineLevel="0" collapsed="false">
      <c r="A107" s="164" t="s">
        <v>516</v>
      </c>
      <c r="B107" s="165" t="s">
        <v>517</v>
      </c>
      <c r="C107" s="164" t="s">
        <v>12</v>
      </c>
      <c r="D107" s="165" t="s">
        <v>16</v>
      </c>
      <c r="E107" s="165" t="s">
        <v>398</v>
      </c>
      <c r="F107" s="198" t="n">
        <f aca="false">H107*USDINR</f>
        <v>13311904</v>
      </c>
      <c r="G107" s="198" t="n">
        <f aca="false">F107/12</f>
        <v>1109325.33333333</v>
      </c>
      <c r="H107" s="199" t="n">
        <v>159424</v>
      </c>
      <c r="I107" s="199" t="n">
        <f aca="false">H107/12</f>
        <v>13285.3333333333</v>
      </c>
    </row>
    <row r="108" customFormat="false" ht="15" hidden="false" customHeight="false" outlineLevel="0" collapsed="false">
      <c r="A108" s="168" t="s">
        <v>519</v>
      </c>
      <c r="B108" s="169" t="s">
        <v>520</v>
      </c>
      <c r="C108" s="168" t="s">
        <v>12</v>
      </c>
      <c r="D108" s="169" t="s">
        <v>16</v>
      </c>
      <c r="E108" s="169" t="s">
        <v>407</v>
      </c>
      <c r="F108" s="200" t="n">
        <f aca="false">H108*USDINR</f>
        <v>3957232</v>
      </c>
      <c r="G108" s="200" t="n">
        <f aca="false">F108/12</f>
        <v>329769.333333333</v>
      </c>
      <c r="H108" s="201" t="n">
        <v>47392</v>
      </c>
      <c r="I108" s="201" t="n">
        <f aca="false">H108/12</f>
        <v>3949.33333333333</v>
      </c>
    </row>
    <row r="109" customFormat="false" ht="15" hidden="false" customHeight="false" outlineLevel="0" collapsed="false">
      <c r="A109" s="164" t="s">
        <v>96</v>
      </c>
      <c r="B109" s="165" t="s">
        <v>97</v>
      </c>
      <c r="C109" s="164" t="s">
        <v>12</v>
      </c>
      <c r="D109" s="165" t="s">
        <v>20</v>
      </c>
      <c r="E109" s="165" t="s">
        <v>410</v>
      </c>
      <c r="F109" s="198" t="n">
        <f aca="false">H109*USDINR</f>
        <v>7159477.875</v>
      </c>
      <c r="G109" s="198" t="n">
        <f aca="false">F109/12</f>
        <v>596623.15625</v>
      </c>
      <c r="H109" s="199" t="n">
        <v>85742.25</v>
      </c>
      <c r="I109" s="199" t="n">
        <f aca="false">H109/12</f>
        <v>7145.1875</v>
      </c>
    </row>
    <row r="110" customFormat="false" ht="15" hidden="false" customHeight="false" outlineLevel="0" collapsed="false">
      <c r="A110" s="168" t="s">
        <v>521</v>
      </c>
      <c r="B110" s="169" t="s">
        <v>522</v>
      </c>
      <c r="C110" s="168" t="s">
        <v>12</v>
      </c>
      <c r="D110" s="169" t="s">
        <v>20</v>
      </c>
      <c r="E110" s="169" t="s">
        <v>410</v>
      </c>
      <c r="F110" s="200" t="n">
        <f aca="false">H110*USDINR</f>
        <v>9808077</v>
      </c>
      <c r="G110" s="200" t="n">
        <f aca="false">F110/12</f>
        <v>817339.75</v>
      </c>
      <c r="H110" s="201" t="n">
        <v>117462</v>
      </c>
      <c r="I110" s="201" t="n">
        <f aca="false">H110/12</f>
        <v>9788.5</v>
      </c>
    </row>
    <row r="111" customFormat="false" ht="15" hidden="false" customHeight="false" outlineLevel="0" collapsed="false">
      <c r="A111" s="164" t="s">
        <v>523</v>
      </c>
      <c r="B111" s="165" t="s">
        <v>524</v>
      </c>
      <c r="C111" s="164" t="s">
        <v>12</v>
      </c>
      <c r="D111" s="165" t="s">
        <v>20</v>
      </c>
      <c r="E111" s="165" t="s">
        <v>413</v>
      </c>
      <c r="F111" s="198" t="n">
        <f aca="false">H111*USDINR</f>
        <v>9535449.5</v>
      </c>
      <c r="G111" s="198" t="n">
        <f aca="false">F111/12</f>
        <v>794620.791666667</v>
      </c>
      <c r="H111" s="199" t="n">
        <v>114197</v>
      </c>
      <c r="I111" s="199" t="n">
        <f aca="false">H111/12</f>
        <v>9516.41666666667</v>
      </c>
    </row>
    <row r="112" customFormat="false" ht="15" hidden="false" customHeight="false" outlineLevel="0" collapsed="false">
      <c r="A112" s="168" t="s">
        <v>156</v>
      </c>
      <c r="B112" s="169" t="s">
        <v>157</v>
      </c>
      <c r="C112" s="168" t="s">
        <v>12</v>
      </c>
      <c r="D112" s="169" t="s">
        <v>20</v>
      </c>
      <c r="E112" s="169" t="s">
        <v>417</v>
      </c>
      <c r="F112" s="200" t="n">
        <f aca="false">H112*USDINR</f>
        <v>4427337</v>
      </c>
      <c r="G112" s="200" t="n">
        <f aca="false">F112/12</f>
        <v>368944.75</v>
      </c>
      <c r="H112" s="201" t="n">
        <v>53022</v>
      </c>
      <c r="I112" s="201" t="n">
        <f aca="false">H112/12</f>
        <v>4418.5</v>
      </c>
    </row>
    <row r="113" customFormat="false" ht="15" hidden="false" customHeight="false" outlineLevel="0" collapsed="false">
      <c r="A113" s="164" t="s">
        <v>525</v>
      </c>
      <c r="B113" s="165" t="s">
        <v>526</v>
      </c>
      <c r="C113" s="164" t="s">
        <v>12</v>
      </c>
      <c r="D113" s="165" t="s">
        <v>21</v>
      </c>
      <c r="E113" s="165" t="s">
        <v>419</v>
      </c>
      <c r="F113" s="198" t="n">
        <f aca="false">H113*USDINR</f>
        <v>6671065.5</v>
      </c>
      <c r="G113" s="198" t="n">
        <f aca="false">F113/12</f>
        <v>555922.125</v>
      </c>
      <c r="H113" s="199" t="n">
        <v>79893</v>
      </c>
      <c r="I113" s="199" t="n">
        <f aca="false">H113/12</f>
        <v>6657.75</v>
      </c>
    </row>
    <row r="114" customFormat="false" ht="15" hidden="false" customHeight="false" outlineLevel="0" collapsed="false">
      <c r="A114" s="168" t="s">
        <v>527</v>
      </c>
      <c r="B114" s="169" t="s">
        <v>528</v>
      </c>
      <c r="C114" s="168" t="s">
        <v>12</v>
      </c>
      <c r="D114" s="169" t="s">
        <v>21</v>
      </c>
      <c r="E114" s="169" t="s">
        <v>419</v>
      </c>
      <c r="F114" s="200" t="n">
        <f aca="false">H114*USDINR</f>
        <v>7846578.5</v>
      </c>
      <c r="G114" s="200" t="n">
        <f aca="false">F114/12</f>
        <v>653881.541666667</v>
      </c>
      <c r="H114" s="201" t="n">
        <v>93971</v>
      </c>
      <c r="I114" s="201" t="n">
        <f aca="false">H114/12</f>
        <v>7830.91666666667</v>
      </c>
    </row>
    <row r="115" customFormat="false" ht="15" hidden="false" customHeight="false" outlineLevel="0" collapsed="false">
      <c r="A115" s="164" t="s">
        <v>529</v>
      </c>
      <c r="B115" s="165" t="s">
        <v>530</v>
      </c>
      <c r="C115" s="164" t="s">
        <v>12</v>
      </c>
      <c r="D115" s="165" t="s">
        <v>22</v>
      </c>
      <c r="E115" s="165" t="s">
        <v>430</v>
      </c>
      <c r="F115" s="198" t="n">
        <f aca="false">H115*USDINR</f>
        <v>4839576.5</v>
      </c>
      <c r="G115" s="198" t="n">
        <f aca="false">F115/12</f>
        <v>403298.041666667</v>
      </c>
      <c r="H115" s="199" t="n">
        <v>57959</v>
      </c>
      <c r="I115" s="199" t="n">
        <f aca="false">H115/12</f>
        <v>4829.91666666667</v>
      </c>
    </row>
    <row r="116" customFormat="false" ht="15" hidden="false" customHeight="false" outlineLevel="0" collapsed="false">
      <c r="A116" s="168" t="s">
        <v>531</v>
      </c>
      <c r="B116" s="169" t="s">
        <v>532</v>
      </c>
      <c r="C116" s="168" t="s">
        <v>12</v>
      </c>
      <c r="D116" s="169" t="s">
        <v>22</v>
      </c>
      <c r="E116" s="169" t="s">
        <v>430</v>
      </c>
      <c r="F116" s="200" t="n">
        <f aca="false">H116*USDINR</f>
        <v>11344143</v>
      </c>
      <c r="G116" s="200" t="n">
        <f aca="false">F116/12</f>
        <v>945345.25</v>
      </c>
      <c r="H116" s="201" t="n">
        <v>135858</v>
      </c>
      <c r="I116" s="201" t="n">
        <f aca="false">H116/12</f>
        <v>11321.5</v>
      </c>
    </row>
    <row r="117" customFormat="false" ht="15" hidden="false" customHeight="false" outlineLevel="0" collapsed="false">
      <c r="A117" s="164" t="s">
        <v>533</v>
      </c>
      <c r="B117" s="165" t="s">
        <v>534</v>
      </c>
      <c r="C117" s="164" t="s">
        <v>12</v>
      </c>
      <c r="D117" s="165" t="s">
        <v>22</v>
      </c>
      <c r="E117" s="165" t="s">
        <v>430</v>
      </c>
      <c r="F117" s="198" t="n">
        <f aca="false">H117*USDINR</f>
        <v>4630576</v>
      </c>
      <c r="G117" s="198" t="n">
        <f aca="false">F117/12</f>
        <v>385881.333333333</v>
      </c>
      <c r="H117" s="199" t="n">
        <v>55456</v>
      </c>
      <c r="I117" s="199" t="n">
        <f aca="false">H117/12</f>
        <v>4621.33333333333</v>
      </c>
    </row>
    <row r="118" customFormat="false" ht="15" hidden="false" customHeight="false" outlineLevel="0" collapsed="false">
      <c r="A118" s="168" t="s">
        <v>535</v>
      </c>
      <c r="B118" s="169" t="s">
        <v>536</v>
      </c>
      <c r="C118" s="168" t="s">
        <v>12</v>
      </c>
      <c r="D118" s="169" t="s">
        <v>22</v>
      </c>
      <c r="E118" s="169" t="s">
        <v>430</v>
      </c>
      <c r="F118" s="200" t="n">
        <f aca="false">H118*USDINR</f>
        <v>10632138.5</v>
      </c>
      <c r="G118" s="200" t="n">
        <f aca="false">F118/12</f>
        <v>886011.541666667</v>
      </c>
      <c r="H118" s="201" t="n">
        <v>127331</v>
      </c>
      <c r="I118" s="201" t="n">
        <f aca="false">H118/12</f>
        <v>10610.9166666667</v>
      </c>
    </row>
    <row r="119" customFormat="false" ht="15" hidden="false" customHeight="false" outlineLevel="0" collapsed="false">
      <c r="A119" s="164" t="s">
        <v>537</v>
      </c>
      <c r="B119" s="165" t="s">
        <v>538</v>
      </c>
      <c r="C119" s="164" t="s">
        <v>12</v>
      </c>
      <c r="D119" s="165" t="s">
        <v>23</v>
      </c>
      <c r="E119" s="165" t="s">
        <v>441</v>
      </c>
      <c r="F119" s="198" t="n">
        <f aca="false">H119*USDINR</f>
        <v>9717145.5</v>
      </c>
      <c r="G119" s="198" t="n">
        <f aca="false">F119/12</f>
        <v>809762.125</v>
      </c>
      <c r="H119" s="199" t="n">
        <v>116373</v>
      </c>
      <c r="I119" s="199" t="n">
        <f aca="false">H119/12</f>
        <v>9697.75</v>
      </c>
    </row>
    <row r="120" customFormat="false" ht="15" hidden="false" customHeight="false" outlineLevel="0" collapsed="false">
      <c r="A120" s="168" t="s">
        <v>539</v>
      </c>
      <c r="B120" s="169" t="s">
        <v>540</v>
      </c>
      <c r="C120" s="168" t="s">
        <v>12</v>
      </c>
      <c r="D120" s="169" t="s">
        <v>23</v>
      </c>
      <c r="E120" s="169" t="s">
        <v>441</v>
      </c>
      <c r="F120" s="200" t="n">
        <f aca="false">H120*USDINR</f>
        <v>10696266.5</v>
      </c>
      <c r="G120" s="200" t="n">
        <f aca="false">F120/12</f>
        <v>891355.541666667</v>
      </c>
      <c r="H120" s="201" t="n">
        <v>128099</v>
      </c>
      <c r="I120" s="201" t="n">
        <f aca="false">H120/12</f>
        <v>10674.9166666667</v>
      </c>
    </row>
    <row r="121" customFormat="false" ht="15" hidden="false" customHeight="false" outlineLevel="0" collapsed="false">
      <c r="A121" s="202" t="s">
        <v>26</v>
      </c>
      <c r="B121" s="202"/>
      <c r="C121" s="202"/>
      <c r="D121" s="202"/>
      <c r="E121" s="202"/>
      <c r="F121" s="203" t="n">
        <f aca="false">SUM(F5:F120)</f>
        <v>618484356.375</v>
      </c>
      <c r="G121" s="203" t="n">
        <f aca="false">SUM(G5:G120)</f>
        <v>51540363.03125</v>
      </c>
      <c r="H121" s="204" t="n">
        <f aca="false">SUM(H5:H120)</f>
        <v>7406998.27994012</v>
      </c>
      <c r="I121" s="204" t="n">
        <f aca="false">SUM(I5:I120)</f>
        <v>617249.856661677</v>
      </c>
    </row>
  </sheetData>
  <autoFilter ref="A4:I120"/>
  <mergeCells count="3">
    <mergeCell ref="A1:I1"/>
    <mergeCell ref="A2:I2"/>
    <mergeCell ref="A121:E121"/>
  </mergeCells>
  <conditionalFormatting sqref="F5:F120">
    <cfRule type="dataBar" priority="2">
      <dataBar showValue="1" minLength="10" maxLength="90">
        <cfvo type="min" val="0"/>
        <cfvo type="max" val="0"/>
        <color rgb="FF1E3A5F"/>
      </dataBar>
      <extLst>
        <ext xmlns:x14="http://schemas.microsoft.com/office/spreadsheetml/2009/9/main" uri="{B025F937-C7B1-47D3-B67F-A62EFF666E3E}">
          <x14:id>{37C1A03B-1BBC-4F47-BE72-9820244DB12E}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1A03B-1BBC-4F47-BE72-9820244DB12E}">
            <x14:dataBar minLength="10" maxLength="90" axisPosition="none" gradient="true">
              <x14:cfvo type="min"/>
              <x14:cfvo type="max"/>
              <x14:negativeFillColor rgb="FF1E3A5F"/>
              <x14:axisColor rgb="FF000000"/>
            </x14:dataBar>
          </x14:cfRule>
          <xm:sqref>F5:F120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G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31.5" hidden="false" customHeight="true" outlineLevel="0" collapsed="false">
      <c r="A1" s="161" t="s">
        <v>1958</v>
      </c>
      <c r="B1" s="161"/>
      <c r="C1" s="161"/>
      <c r="D1" s="161"/>
      <c r="E1" s="161"/>
      <c r="F1" s="161"/>
      <c r="G1" s="161"/>
    </row>
    <row r="2" customFormat="false" ht="24" hidden="false" customHeight="true" outlineLevel="0" collapsed="false">
      <c r="A2" s="162" t="s">
        <v>1959</v>
      </c>
      <c r="B2" s="162"/>
      <c r="C2" s="162"/>
      <c r="D2" s="162"/>
      <c r="E2" s="162"/>
      <c r="F2" s="162"/>
      <c r="G2" s="162"/>
    </row>
    <row r="4" customFormat="false" ht="36" hidden="false" customHeight="true" outlineLevel="0" collapsed="false">
      <c r="A4" s="163" t="s">
        <v>282</v>
      </c>
      <c r="B4" s="163" t="s">
        <v>51</v>
      </c>
      <c r="C4" s="163" t="s">
        <v>1953</v>
      </c>
      <c r="D4" s="163" t="s">
        <v>10</v>
      </c>
      <c r="E4" s="163" t="s">
        <v>283</v>
      </c>
      <c r="F4" s="163" t="s">
        <v>1960</v>
      </c>
      <c r="G4" s="163" t="s">
        <v>1961</v>
      </c>
    </row>
    <row r="5" customFormat="false" ht="15" hidden="false" customHeight="false" outlineLevel="0" collapsed="false">
      <c r="A5" s="164" t="s">
        <v>291</v>
      </c>
      <c r="B5" s="165" t="s">
        <v>292</v>
      </c>
      <c r="C5" s="164" t="s">
        <v>11</v>
      </c>
      <c r="D5" s="165" t="s">
        <v>15</v>
      </c>
      <c r="E5" s="165" t="s">
        <v>293</v>
      </c>
      <c r="F5" s="167" t="n">
        <v>3.76</v>
      </c>
      <c r="G5" s="205" t="n">
        <v>0.828</v>
      </c>
    </row>
    <row r="6" customFormat="false" ht="15" hidden="false" customHeight="false" outlineLevel="0" collapsed="false">
      <c r="A6" s="168" t="s">
        <v>296</v>
      </c>
      <c r="B6" s="169" t="s">
        <v>297</v>
      </c>
      <c r="C6" s="168" t="s">
        <v>11</v>
      </c>
      <c r="D6" s="169" t="s">
        <v>16</v>
      </c>
      <c r="E6" s="169" t="s">
        <v>298</v>
      </c>
      <c r="F6" s="171" t="n">
        <v>4.53</v>
      </c>
      <c r="G6" s="206" t="n">
        <v>0.642</v>
      </c>
    </row>
    <row r="7" customFormat="false" ht="15" hidden="false" customHeight="false" outlineLevel="0" collapsed="false">
      <c r="A7" s="164" t="s">
        <v>300</v>
      </c>
      <c r="B7" s="165" t="s">
        <v>109</v>
      </c>
      <c r="C7" s="164" t="s">
        <v>11</v>
      </c>
      <c r="D7" s="165" t="s">
        <v>20</v>
      </c>
      <c r="E7" s="165" t="s">
        <v>301</v>
      </c>
      <c r="F7" s="167" t="n">
        <v>3.29</v>
      </c>
      <c r="G7" s="205" t="n">
        <v>0.842</v>
      </c>
    </row>
    <row r="8" customFormat="false" ht="15" hidden="false" customHeight="false" outlineLevel="0" collapsed="false">
      <c r="A8" s="168" t="s">
        <v>303</v>
      </c>
      <c r="B8" s="169" t="s">
        <v>304</v>
      </c>
      <c r="C8" s="168" t="s">
        <v>11</v>
      </c>
      <c r="D8" s="169" t="s">
        <v>21</v>
      </c>
      <c r="E8" s="169" t="s">
        <v>305</v>
      </c>
      <c r="F8" s="171" t="n">
        <v>4.78</v>
      </c>
      <c r="G8" s="206" t="n">
        <v>0.957</v>
      </c>
    </row>
    <row r="9" customFormat="false" ht="15" hidden="false" customHeight="false" outlineLevel="0" collapsed="false">
      <c r="A9" s="164" t="s">
        <v>307</v>
      </c>
      <c r="B9" s="165" t="s">
        <v>308</v>
      </c>
      <c r="C9" s="164" t="s">
        <v>11</v>
      </c>
      <c r="D9" s="165" t="s">
        <v>22</v>
      </c>
      <c r="E9" s="165" t="s">
        <v>309</v>
      </c>
      <c r="F9" s="167" t="n">
        <v>3.26</v>
      </c>
      <c r="G9" s="205" t="n">
        <v>0.848</v>
      </c>
    </row>
    <row r="10" customFormat="false" ht="15" hidden="false" customHeight="false" outlineLevel="0" collapsed="false">
      <c r="A10" s="168" t="s">
        <v>311</v>
      </c>
      <c r="B10" s="169" t="s">
        <v>312</v>
      </c>
      <c r="C10" s="168" t="s">
        <v>11</v>
      </c>
      <c r="D10" s="169" t="s">
        <v>23</v>
      </c>
      <c r="E10" s="169" t="s">
        <v>313</v>
      </c>
      <c r="F10" s="171" t="n">
        <v>3.77</v>
      </c>
      <c r="G10" s="206" t="n">
        <v>0.853</v>
      </c>
    </row>
    <row r="11" customFormat="false" ht="15" hidden="false" customHeight="false" outlineLevel="0" collapsed="false">
      <c r="A11" s="164" t="s">
        <v>315</v>
      </c>
      <c r="B11" s="165" t="s">
        <v>316</v>
      </c>
      <c r="C11" s="164" t="s">
        <v>11</v>
      </c>
      <c r="D11" s="165" t="s">
        <v>24</v>
      </c>
      <c r="E11" s="165" t="s">
        <v>317</v>
      </c>
      <c r="F11" s="167" t="n">
        <v>3.05</v>
      </c>
      <c r="G11" s="205" t="n">
        <v>0.969</v>
      </c>
    </row>
    <row r="12" customFormat="false" ht="15" hidden="false" customHeight="false" outlineLevel="0" collapsed="false">
      <c r="A12" s="168" t="s">
        <v>319</v>
      </c>
      <c r="B12" s="169" t="s">
        <v>320</v>
      </c>
      <c r="C12" s="168" t="s">
        <v>11</v>
      </c>
      <c r="D12" s="169" t="s">
        <v>25</v>
      </c>
      <c r="E12" s="169" t="s">
        <v>321</v>
      </c>
      <c r="F12" s="171" t="n">
        <v>3.44</v>
      </c>
      <c r="G12" s="206" t="n">
        <v>0.645</v>
      </c>
    </row>
    <row r="13" customFormat="false" ht="15" hidden="false" customHeight="false" outlineLevel="0" collapsed="false">
      <c r="A13" s="164" t="s">
        <v>323</v>
      </c>
      <c r="B13" s="165" t="s">
        <v>324</v>
      </c>
      <c r="C13" s="164" t="s">
        <v>11</v>
      </c>
      <c r="D13" s="165" t="s">
        <v>15</v>
      </c>
      <c r="E13" s="165" t="s">
        <v>325</v>
      </c>
      <c r="F13" s="167" t="n">
        <v>3.29</v>
      </c>
      <c r="G13" s="205" t="n">
        <v>0.752</v>
      </c>
    </row>
    <row r="14" customFormat="false" ht="15" hidden="false" customHeight="false" outlineLevel="0" collapsed="false">
      <c r="A14" s="168" t="s">
        <v>327</v>
      </c>
      <c r="B14" s="169" t="s">
        <v>328</v>
      </c>
      <c r="C14" s="168" t="s">
        <v>11</v>
      </c>
      <c r="D14" s="169" t="s">
        <v>15</v>
      </c>
      <c r="E14" s="169" t="s">
        <v>325</v>
      </c>
      <c r="F14" s="171" t="n">
        <v>3.58</v>
      </c>
      <c r="G14" s="206" t="n">
        <v>0.829</v>
      </c>
    </row>
    <row r="15" customFormat="false" ht="15" hidden="false" customHeight="false" outlineLevel="0" collapsed="false">
      <c r="A15" s="164" t="s">
        <v>330</v>
      </c>
      <c r="B15" s="165" t="s">
        <v>331</v>
      </c>
      <c r="C15" s="164" t="s">
        <v>11</v>
      </c>
      <c r="D15" s="165" t="s">
        <v>15</v>
      </c>
      <c r="E15" s="165" t="s">
        <v>325</v>
      </c>
      <c r="F15" s="167" t="n">
        <v>4.33</v>
      </c>
      <c r="G15" s="205" t="n">
        <v>0.855</v>
      </c>
    </row>
    <row r="16" customFormat="false" ht="15" hidden="false" customHeight="false" outlineLevel="0" collapsed="false">
      <c r="A16" s="168" t="s">
        <v>332</v>
      </c>
      <c r="B16" s="169" t="s">
        <v>333</v>
      </c>
      <c r="C16" s="168" t="s">
        <v>11</v>
      </c>
      <c r="D16" s="169" t="s">
        <v>16</v>
      </c>
      <c r="E16" s="169" t="s">
        <v>334</v>
      </c>
      <c r="F16" s="171" t="n">
        <v>4.55</v>
      </c>
      <c r="G16" s="206" t="n">
        <v>0.966</v>
      </c>
    </row>
    <row r="17" customFormat="false" ht="15" hidden="false" customHeight="false" outlineLevel="0" collapsed="false">
      <c r="A17" s="164" t="s">
        <v>335</v>
      </c>
      <c r="B17" s="165" t="s">
        <v>336</v>
      </c>
      <c r="C17" s="164" t="s">
        <v>11</v>
      </c>
      <c r="D17" s="165" t="s">
        <v>16</v>
      </c>
      <c r="E17" s="165" t="s">
        <v>334</v>
      </c>
      <c r="F17" s="167" t="n">
        <v>3.39</v>
      </c>
      <c r="G17" s="205" t="n">
        <v>0.685</v>
      </c>
    </row>
    <row r="18" customFormat="false" ht="15" hidden="false" customHeight="false" outlineLevel="0" collapsed="false">
      <c r="A18" s="168" t="s">
        <v>338</v>
      </c>
      <c r="B18" s="169" t="s">
        <v>339</v>
      </c>
      <c r="C18" s="168" t="s">
        <v>11</v>
      </c>
      <c r="D18" s="169" t="s">
        <v>20</v>
      </c>
      <c r="E18" s="169" t="s">
        <v>340</v>
      </c>
      <c r="F18" s="171" t="n">
        <v>3.73</v>
      </c>
      <c r="G18" s="206" t="n">
        <v>0.934</v>
      </c>
    </row>
    <row r="19" customFormat="false" ht="15" hidden="false" customHeight="false" outlineLevel="0" collapsed="false">
      <c r="A19" s="164" t="s">
        <v>342</v>
      </c>
      <c r="B19" s="165" t="s">
        <v>343</v>
      </c>
      <c r="C19" s="164" t="s">
        <v>11</v>
      </c>
      <c r="D19" s="165" t="s">
        <v>20</v>
      </c>
      <c r="E19" s="165" t="s">
        <v>340</v>
      </c>
      <c r="F19" s="167" t="n">
        <v>3.01</v>
      </c>
      <c r="G19" s="205" t="n">
        <v>0.812</v>
      </c>
    </row>
    <row r="20" customFormat="false" ht="15" hidden="false" customHeight="false" outlineLevel="0" collapsed="false">
      <c r="A20" s="168" t="s">
        <v>344</v>
      </c>
      <c r="B20" s="169" t="s">
        <v>345</v>
      </c>
      <c r="C20" s="168" t="s">
        <v>11</v>
      </c>
      <c r="D20" s="169" t="s">
        <v>20</v>
      </c>
      <c r="E20" s="169" t="s">
        <v>340</v>
      </c>
      <c r="F20" s="171" t="n">
        <v>4.85</v>
      </c>
      <c r="G20" s="206" t="n">
        <v>0.624</v>
      </c>
    </row>
    <row r="21" customFormat="false" ht="15" hidden="false" customHeight="false" outlineLevel="0" collapsed="false">
      <c r="A21" s="164" t="s">
        <v>347</v>
      </c>
      <c r="B21" s="165" t="s">
        <v>348</v>
      </c>
      <c r="C21" s="164" t="s">
        <v>11</v>
      </c>
      <c r="D21" s="165" t="s">
        <v>21</v>
      </c>
      <c r="E21" s="165" t="s">
        <v>349</v>
      </c>
      <c r="F21" s="167" t="n">
        <v>3.38</v>
      </c>
      <c r="G21" s="205" t="n">
        <v>0.97</v>
      </c>
    </row>
    <row r="22" customFormat="false" ht="15" hidden="false" customHeight="false" outlineLevel="0" collapsed="false">
      <c r="A22" s="168" t="s">
        <v>351</v>
      </c>
      <c r="B22" s="169" t="s">
        <v>352</v>
      </c>
      <c r="C22" s="168" t="s">
        <v>11</v>
      </c>
      <c r="D22" s="169" t="s">
        <v>21</v>
      </c>
      <c r="E22" s="169" t="s">
        <v>349</v>
      </c>
      <c r="F22" s="171" t="n">
        <v>4.53</v>
      </c>
      <c r="G22" s="206" t="n">
        <v>0.858</v>
      </c>
    </row>
    <row r="23" customFormat="false" ht="15" hidden="false" customHeight="false" outlineLevel="0" collapsed="false">
      <c r="A23" s="164" t="s">
        <v>353</v>
      </c>
      <c r="B23" s="165" t="s">
        <v>164</v>
      </c>
      <c r="C23" s="164" t="s">
        <v>11</v>
      </c>
      <c r="D23" s="165" t="s">
        <v>21</v>
      </c>
      <c r="E23" s="165" t="s">
        <v>349</v>
      </c>
      <c r="F23" s="167" t="n">
        <v>4.15</v>
      </c>
      <c r="G23" s="205" t="n">
        <v>0.62</v>
      </c>
    </row>
    <row r="24" customFormat="false" ht="15" hidden="false" customHeight="false" outlineLevel="0" collapsed="false">
      <c r="A24" s="168" t="s">
        <v>355</v>
      </c>
      <c r="B24" s="169" t="s">
        <v>356</v>
      </c>
      <c r="C24" s="168" t="s">
        <v>11</v>
      </c>
      <c r="D24" s="169" t="s">
        <v>22</v>
      </c>
      <c r="E24" s="169" t="s">
        <v>357</v>
      </c>
      <c r="F24" s="171" t="n">
        <v>3.5</v>
      </c>
      <c r="G24" s="206" t="n">
        <v>0.907</v>
      </c>
    </row>
    <row r="25" customFormat="false" ht="15" hidden="false" customHeight="false" outlineLevel="0" collapsed="false">
      <c r="A25" s="164" t="s">
        <v>358</v>
      </c>
      <c r="B25" s="165" t="s">
        <v>79</v>
      </c>
      <c r="C25" s="164" t="s">
        <v>11</v>
      </c>
      <c r="D25" s="165" t="s">
        <v>22</v>
      </c>
      <c r="E25" s="165" t="s">
        <v>357</v>
      </c>
      <c r="F25" s="167" t="n">
        <v>3.23</v>
      </c>
      <c r="G25" s="205" t="n">
        <v>0.829</v>
      </c>
    </row>
    <row r="26" customFormat="false" ht="15" hidden="false" customHeight="false" outlineLevel="0" collapsed="false">
      <c r="A26" s="168" t="s">
        <v>360</v>
      </c>
      <c r="B26" s="169" t="s">
        <v>361</v>
      </c>
      <c r="C26" s="168" t="s">
        <v>11</v>
      </c>
      <c r="D26" s="169" t="s">
        <v>22</v>
      </c>
      <c r="E26" s="169" t="s">
        <v>357</v>
      </c>
      <c r="F26" s="171" t="n">
        <v>4.51</v>
      </c>
      <c r="G26" s="206" t="n">
        <v>0.728</v>
      </c>
    </row>
    <row r="27" customFormat="false" ht="15" hidden="false" customHeight="false" outlineLevel="0" collapsed="false">
      <c r="A27" s="164" t="s">
        <v>363</v>
      </c>
      <c r="B27" s="165" t="s">
        <v>364</v>
      </c>
      <c r="C27" s="164" t="s">
        <v>11</v>
      </c>
      <c r="D27" s="165" t="s">
        <v>23</v>
      </c>
      <c r="E27" s="165" t="s">
        <v>365</v>
      </c>
      <c r="F27" s="167" t="n">
        <v>3.11</v>
      </c>
      <c r="G27" s="205" t="n">
        <v>0.708</v>
      </c>
    </row>
    <row r="28" customFormat="false" ht="15" hidden="false" customHeight="false" outlineLevel="0" collapsed="false">
      <c r="A28" s="168" t="s">
        <v>367</v>
      </c>
      <c r="B28" s="169" t="s">
        <v>119</v>
      </c>
      <c r="C28" s="168" t="s">
        <v>11</v>
      </c>
      <c r="D28" s="169" t="s">
        <v>23</v>
      </c>
      <c r="E28" s="169" t="s">
        <v>365</v>
      </c>
      <c r="F28" s="171" t="n">
        <v>4.87</v>
      </c>
      <c r="G28" s="206" t="n">
        <v>0.811</v>
      </c>
    </row>
    <row r="29" customFormat="false" ht="15" hidden="false" customHeight="false" outlineLevel="0" collapsed="false">
      <c r="A29" s="164" t="s">
        <v>369</v>
      </c>
      <c r="B29" s="165" t="s">
        <v>370</v>
      </c>
      <c r="C29" s="164" t="s">
        <v>11</v>
      </c>
      <c r="D29" s="165" t="s">
        <v>24</v>
      </c>
      <c r="E29" s="165" t="s">
        <v>371</v>
      </c>
      <c r="F29" s="167" t="n">
        <v>4.48</v>
      </c>
      <c r="G29" s="205" t="n">
        <v>0.858</v>
      </c>
    </row>
    <row r="30" customFormat="false" ht="15" hidden="false" customHeight="false" outlineLevel="0" collapsed="false">
      <c r="A30" s="168" t="s">
        <v>372</v>
      </c>
      <c r="B30" s="169" t="s">
        <v>373</v>
      </c>
      <c r="C30" s="168" t="s">
        <v>11</v>
      </c>
      <c r="D30" s="169" t="s">
        <v>24</v>
      </c>
      <c r="E30" s="169" t="s">
        <v>371</v>
      </c>
      <c r="F30" s="171" t="n">
        <v>2.85</v>
      </c>
      <c r="G30" s="206" t="n">
        <v>0.74</v>
      </c>
    </row>
    <row r="31" customFormat="false" ht="15" hidden="false" customHeight="false" outlineLevel="0" collapsed="false">
      <c r="A31" s="164" t="s">
        <v>375</v>
      </c>
      <c r="B31" s="165" t="s">
        <v>297</v>
      </c>
      <c r="C31" s="164" t="s">
        <v>11</v>
      </c>
      <c r="D31" s="165" t="s">
        <v>24</v>
      </c>
      <c r="E31" s="165" t="s">
        <v>371</v>
      </c>
      <c r="F31" s="167" t="n">
        <v>4.46</v>
      </c>
      <c r="G31" s="205" t="n">
        <v>0.606</v>
      </c>
    </row>
    <row r="32" customFormat="false" ht="15" hidden="false" customHeight="false" outlineLevel="0" collapsed="false">
      <c r="A32" s="168" t="s">
        <v>376</v>
      </c>
      <c r="B32" s="169" t="s">
        <v>377</v>
      </c>
      <c r="C32" s="168" t="s">
        <v>11</v>
      </c>
      <c r="D32" s="169" t="s">
        <v>25</v>
      </c>
      <c r="E32" s="169" t="s">
        <v>378</v>
      </c>
      <c r="F32" s="171" t="n">
        <v>3.36</v>
      </c>
      <c r="G32" s="206" t="n">
        <v>0.889</v>
      </c>
    </row>
    <row r="33" customFormat="false" ht="15" hidden="false" customHeight="false" outlineLevel="0" collapsed="false">
      <c r="A33" s="164" t="s">
        <v>379</v>
      </c>
      <c r="B33" s="165" t="s">
        <v>380</v>
      </c>
      <c r="C33" s="164" t="s">
        <v>11</v>
      </c>
      <c r="D33" s="165" t="s">
        <v>25</v>
      </c>
      <c r="E33" s="165" t="s">
        <v>378</v>
      </c>
      <c r="F33" s="167" t="n">
        <v>3.9</v>
      </c>
      <c r="G33" s="205" t="n">
        <v>0.786</v>
      </c>
    </row>
    <row r="34" customFormat="false" ht="15" hidden="false" customHeight="false" outlineLevel="0" collapsed="false">
      <c r="A34" s="168" t="s">
        <v>382</v>
      </c>
      <c r="B34" s="169" t="s">
        <v>383</v>
      </c>
      <c r="C34" s="168" t="s">
        <v>11</v>
      </c>
      <c r="D34" s="169" t="s">
        <v>15</v>
      </c>
      <c r="E34" s="169" t="s">
        <v>384</v>
      </c>
      <c r="F34" s="171" t="n">
        <v>4.43</v>
      </c>
      <c r="G34" s="206" t="n">
        <v>0.832</v>
      </c>
    </row>
    <row r="35" customFormat="false" ht="15" hidden="false" customHeight="false" outlineLevel="0" collapsed="false">
      <c r="A35" s="164" t="s">
        <v>161</v>
      </c>
      <c r="B35" s="165" t="s">
        <v>162</v>
      </c>
      <c r="C35" s="164" t="s">
        <v>11</v>
      </c>
      <c r="D35" s="165" t="s">
        <v>15</v>
      </c>
      <c r="E35" s="165" t="s">
        <v>387</v>
      </c>
      <c r="F35" s="167" t="n">
        <v>3.75</v>
      </c>
      <c r="G35" s="205" t="n">
        <v>0.969</v>
      </c>
    </row>
    <row r="36" customFormat="false" ht="15" hidden="false" customHeight="false" outlineLevel="0" collapsed="false">
      <c r="A36" s="168" t="s">
        <v>388</v>
      </c>
      <c r="B36" s="169" t="s">
        <v>389</v>
      </c>
      <c r="C36" s="168" t="s">
        <v>11</v>
      </c>
      <c r="D36" s="169" t="s">
        <v>15</v>
      </c>
      <c r="E36" s="169" t="s">
        <v>384</v>
      </c>
      <c r="F36" s="171" t="n">
        <v>2.89</v>
      </c>
      <c r="G36" s="206" t="n">
        <v>0.779</v>
      </c>
    </row>
    <row r="37" customFormat="false" ht="15" hidden="false" customHeight="false" outlineLevel="0" collapsed="false">
      <c r="A37" s="164" t="s">
        <v>390</v>
      </c>
      <c r="B37" s="165" t="s">
        <v>391</v>
      </c>
      <c r="C37" s="164" t="s">
        <v>11</v>
      </c>
      <c r="D37" s="165" t="s">
        <v>15</v>
      </c>
      <c r="E37" s="165" t="s">
        <v>387</v>
      </c>
      <c r="F37" s="167" t="n">
        <v>4.82</v>
      </c>
      <c r="G37" s="205" t="n">
        <v>0.989</v>
      </c>
    </row>
    <row r="38" customFormat="false" ht="15" hidden="false" customHeight="false" outlineLevel="0" collapsed="false">
      <c r="A38" s="168" t="s">
        <v>163</v>
      </c>
      <c r="B38" s="169" t="s">
        <v>164</v>
      </c>
      <c r="C38" s="168" t="s">
        <v>11</v>
      </c>
      <c r="D38" s="169" t="s">
        <v>15</v>
      </c>
      <c r="E38" s="169" t="s">
        <v>384</v>
      </c>
      <c r="F38" s="171" t="n">
        <v>4.58</v>
      </c>
      <c r="G38" s="206" t="n">
        <v>0.868</v>
      </c>
    </row>
    <row r="39" customFormat="false" ht="15" hidden="false" customHeight="false" outlineLevel="0" collapsed="false">
      <c r="A39" s="164" t="s">
        <v>68</v>
      </c>
      <c r="B39" s="165" t="s">
        <v>69</v>
      </c>
      <c r="C39" s="164" t="s">
        <v>11</v>
      </c>
      <c r="D39" s="165" t="s">
        <v>15</v>
      </c>
      <c r="E39" s="165" t="s">
        <v>393</v>
      </c>
      <c r="F39" s="167" t="n">
        <v>3.48</v>
      </c>
      <c r="G39" s="205" t="n">
        <v>0.629</v>
      </c>
    </row>
    <row r="40" customFormat="false" ht="15" hidden="false" customHeight="false" outlineLevel="0" collapsed="false">
      <c r="A40" s="168" t="s">
        <v>80</v>
      </c>
      <c r="B40" s="169" t="s">
        <v>81</v>
      </c>
      <c r="C40" s="168" t="s">
        <v>11</v>
      </c>
      <c r="D40" s="169" t="s">
        <v>15</v>
      </c>
      <c r="E40" s="169" t="s">
        <v>393</v>
      </c>
      <c r="F40" s="171" t="n">
        <v>2.66</v>
      </c>
      <c r="G40" s="206" t="n">
        <v>0.626</v>
      </c>
    </row>
    <row r="41" customFormat="false" ht="15" hidden="false" customHeight="false" outlineLevel="0" collapsed="false">
      <c r="A41" s="164" t="s">
        <v>395</v>
      </c>
      <c r="B41" s="165" t="s">
        <v>396</v>
      </c>
      <c r="C41" s="164" t="s">
        <v>11</v>
      </c>
      <c r="D41" s="165" t="s">
        <v>16</v>
      </c>
      <c r="E41" s="165" t="s">
        <v>397</v>
      </c>
      <c r="F41" s="167" t="n">
        <v>3.38</v>
      </c>
      <c r="G41" s="205" t="n">
        <v>0.749</v>
      </c>
    </row>
    <row r="42" customFormat="false" ht="15" hidden="false" customHeight="false" outlineLevel="0" collapsed="false">
      <c r="A42" s="168" t="s">
        <v>84</v>
      </c>
      <c r="B42" s="169" t="s">
        <v>85</v>
      </c>
      <c r="C42" s="168" t="s">
        <v>11</v>
      </c>
      <c r="D42" s="169" t="s">
        <v>16</v>
      </c>
      <c r="E42" s="169" t="s">
        <v>398</v>
      </c>
      <c r="F42" s="171" t="n">
        <v>4.05</v>
      </c>
      <c r="G42" s="206" t="n">
        <v>0.777</v>
      </c>
    </row>
    <row r="43" customFormat="false" ht="15" hidden="false" customHeight="false" outlineLevel="0" collapsed="false">
      <c r="A43" s="164" t="s">
        <v>399</v>
      </c>
      <c r="B43" s="165" t="s">
        <v>400</v>
      </c>
      <c r="C43" s="164" t="s">
        <v>11</v>
      </c>
      <c r="D43" s="165" t="s">
        <v>16</v>
      </c>
      <c r="E43" s="165" t="s">
        <v>397</v>
      </c>
      <c r="F43" s="167" t="n">
        <v>4.07</v>
      </c>
      <c r="G43" s="205" t="n">
        <v>0.909</v>
      </c>
    </row>
    <row r="44" customFormat="false" ht="15" hidden="false" customHeight="false" outlineLevel="0" collapsed="false">
      <c r="A44" s="168" t="s">
        <v>402</v>
      </c>
      <c r="B44" s="169" t="s">
        <v>403</v>
      </c>
      <c r="C44" s="168" t="s">
        <v>11</v>
      </c>
      <c r="D44" s="169" t="s">
        <v>16</v>
      </c>
      <c r="E44" s="169" t="s">
        <v>397</v>
      </c>
      <c r="F44" s="171" t="n">
        <v>3.04</v>
      </c>
      <c r="G44" s="206" t="n">
        <v>0.768</v>
      </c>
    </row>
    <row r="45" customFormat="false" ht="15" hidden="false" customHeight="false" outlineLevel="0" collapsed="false">
      <c r="A45" s="164" t="s">
        <v>404</v>
      </c>
      <c r="B45" s="165" t="s">
        <v>405</v>
      </c>
      <c r="C45" s="164" t="s">
        <v>11</v>
      </c>
      <c r="D45" s="165" t="s">
        <v>16</v>
      </c>
      <c r="E45" s="165" t="s">
        <v>398</v>
      </c>
      <c r="F45" s="167" t="n">
        <v>4.66</v>
      </c>
      <c r="G45" s="205" t="n">
        <v>0.732</v>
      </c>
    </row>
    <row r="46" customFormat="false" ht="15" hidden="false" customHeight="false" outlineLevel="0" collapsed="false">
      <c r="A46" s="168" t="s">
        <v>72</v>
      </c>
      <c r="B46" s="169" t="s">
        <v>73</v>
      </c>
      <c r="C46" s="168" t="s">
        <v>11</v>
      </c>
      <c r="D46" s="169" t="s">
        <v>16</v>
      </c>
      <c r="E46" s="169" t="s">
        <v>407</v>
      </c>
      <c r="F46" s="171" t="n">
        <v>3.41</v>
      </c>
      <c r="G46" s="206" t="n">
        <v>0.885</v>
      </c>
    </row>
    <row r="47" customFormat="false" ht="15" hidden="false" customHeight="false" outlineLevel="0" collapsed="false">
      <c r="A47" s="164" t="s">
        <v>408</v>
      </c>
      <c r="B47" s="165" t="s">
        <v>409</v>
      </c>
      <c r="C47" s="164" t="s">
        <v>11</v>
      </c>
      <c r="D47" s="165" t="s">
        <v>16</v>
      </c>
      <c r="E47" s="165" t="s">
        <v>407</v>
      </c>
      <c r="F47" s="167" t="n">
        <v>3.13</v>
      </c>
      <c r="G47" s="205" t="n">
        <v>0.859</v>
      </c>
    </row>
    <row r="48" customFormat="false" ht="15" hidden="false" customHeight="false" outlineLevel="0" collapsed="false">
      <c r="A48" s="168" t="s">
        <v>74</v>
      </c>
      <c r="B48" s="169" t="s">
        <v>75</v>
      </c>
      <c r="C48" s="168" t="s">
        <v>11</v>
      </c>
      <c r="D48" s="169" t="s">
        <v>20</v>
      </c>
      <c r="E48" s="169" t="s">
        <v>410</v>
      </c>
      <c r="F48" s="171" t="n">
        <v>3.59</v>
      </c>
      <c r="G48" s="206" t="n">
        <v>0.868</v>
      </c>
    </row>
    <row r="49" customFormat="false" ht="15" hidden="false" customHeight="false" outlineLevel="0" collapsed="false">
      <c r="A49" s="164" t="s">
        <v>62</v>
      </c>
      <c r="B49" s="165" t="s">
        <v>63</v>
      </c>
      <c r="C49" s="164" t="s">
        <v>11</v>
      </c>
      <c r="D49" s="165" t="s">
        <v>20</v>
      </c>
      <c r="E49" s="165" t="s">
        <v>410</v>
      </c>
      <c r="F49" s="167" t="n">
        <v>3.8</v>
      </c>
      <c r="G49" s="205" t="n">
        <v>0.924</v>
      </c>
    </row>
    <row r="50" customFormat="false" ht="15" hidden="false" customHeight="false" outlineLevel="0" collapsed="false">
      <c r="A50" s="168" t="s">
        <v>411</v>
      </c>
      <c r="B50" s="169" t="s">
        <v>412</v>
      </c>
      <c r="C50" s="168" t="s">
        <v>11</v>
      </c>
      <c r="D50" s="169" t="s">
        <v>20</v>
      </c>
      <c r="E50" s="169" t="s">
        <v>413</v>
      </c>
      <c r="F50" s="171" t="n">
        <v>3</v>
      </c>
      <c r="G50" s="206" t="n">
        <v>0.89</v>
      </c>
    </row>
    <row r="51" customFormat="false" ht="15" hidden="false" customHeight="false" outlineLevel="0" collapsed="false">
      <c r="A51" s="164" t="s">
        <v>414</v>
      </c>
      <c r="B51" s="165" t="s">
        <v>415</v>
      </c>
      <c r="C51" s="164" t="s">
        <v>11</v>
      </c>
      <c r="D51" s="165" t="s">
        <v>20</v>
      </c>
      <c r="E51" s="165" t="s">
        <v>413</v>
      </c>
      <c r="F51" s="167" t="n">
        <v>3.58</v>
      </c>
      <c r="G51" s="205" t="n">
        <v>0.817</v>
      </c>
    </row>
    <row r="52" customFormat="false" ht="15" hidden="false" customHeight="false" outlineLevel="0" collapsed="false">
      <c r="A52" s="168" t="s">
        <v>76</v>
      </c>
      <c r="B52" s="169" t="s">
        <v>77</v>
      </c>
      <c r="C52" s="168" t="s">
        <v>11</v>
      </c>
      <c r="D52" s="169" t="s">
        <v>20</v>
      </c>
      <c r="E52" s="169" t="s">
        <v>417</v>
      </c>
      <c r="F52" s="171" t="n">
        <v>3.67</v>
      </c>
      <c r="G52" s="206" t="n">
        <v>0.861</v>
      </c>
    </row>
    <row r="53" customFormat="false" ht="15" hidden="false" customHeight="false" outlineLevel="0" collapsed="false">
      <c r="A53" s="164" t="s">
        <v>56</v>
      </c>
      <c r="B53" s="165" t="s">
        <v>57</v>
      </c>
      <c r="C53" s="164" t="s">
        <v>11</v>
      </c>
      <c r="D53" s="165" t="s">
        <v>20</v>
      </c>
      <c r="E53" s="165" t="s">
        <v>417</v>
      </c>
      <c r="F53" s="167" t="n">
        <v>3.32</v>
      </c>
      <c r="G53" s="205" t="n">
        <v>0.939</v>
      </c>
    </row>
    <row r="54" customFormat="false" ht="15" hidden="false" customHeight="false" outlineLevel="0" collapsed="false">
      <c r="A54" s="168" t="s">
        <v>78</v>
      </c>
      <c r="B54" s="169" t="s">
        <v>79</v>
      </c>
      <c r="C54" s="168" t="s">
        <v>11</v>
      </c>
      <c r="D54" s="169" t="s">
        <v>21</v>
      </c>
      <c r="E54" s="169" t="s">
        <v>419</v>
      </c>
      <c r="F54" s="171" t="n">
        <v>4.31</v>
      </c>
      <c r="G54" s="206" t="n">
        <v>0.834</v>
      </c>
    </row>
    <row r="55" customFormat="false" ht="15" hidden="false" customHeight="false" outlineLevel="0" collapsed="false">
      <c r="A55" s="164" t="s">
        <v>90</v>
      </c>
      <c r="B55" s="165" t="s">
        <v>91</v>
      </c>
      <c r="C55" s="164" t="s">
        <v>11</v>
      </c>
      <c r="D55" s="165" t="s">
        <v>21</v>
      </c>
      <c r="E55" s="165" t="s">
        <v>419</v>
      </c>
      <c r="F55" s="167" t="n">
        <v>3.54</v>
      </c>
      <c r="G55" s="205" t="n">
        <v>0.683</v>
      </c>
    </row>
    <row r="56" customFormat="false" ht="15" hidden="false" customHeight="false" outlineLevel="0" collapsed="false">
      <c r="A56" s="168" t="s">
        <v>421</v>
      </c>
      <c r="B56" s="169" t="s">
        <v>422</v>
      </c>
      <c r="C56" s="168" t="s">
        <v>11</v>
      </c>
      <c r="D56" s="169" t="s">
        <v>21</v>
      </c>
      <c r="E56" s="169" t="s">
        <v>419</v>
      </c>
      <c r="F56" s="171" t="n">
        <v>4.18</v>
      </c>
      <c r="G56" s="206" t="n">
        <v>0.93</v>
      </c>
    </row>
    <row r="57" customFormat="false" ht="15" hidden="false" customHeight="false" outlineLevel="0" collapsed="false">
      <c r="A57" s="164" t="s">
        <v>423</v>
      </c>
      <c r="B57" s="165" t="s">
        <v>424</v>
      </c>
      <c r="C57" s="164" t="s">
        <v>11</v>
      </c>
      <c r="D57" s="165" t="s">
        <v>21</v>
      </c>
      <c r="E57" s="165" t="s">
        <v>419</v>
      </c>
      <c r="F57" s="167" t="n">
        <v>3.54</v>
      </c>
      <c r="G57" s="205" t="n">
        <v>0.645</v>
      </c>
    </row>
    <row r="58" customFormat="false" ht="15" hidden="false" customHeight="false" outlineLevel="0" collapsed="false">
      <c r="A58" s="168" t="s">
        <v>425</v>
      </c>
      <c r="B58" s="169" t="s">
        <v>426</v>
      </c>
      <c r="C58" s="168" t="s">
        <v>11</v>
      </c>
      <c r="D58" s="169" t="s">
        <v>21</v>
      </c>
      <c r="E58" s="169" t="s">
        <v>427</v>
      </c>
      <c r="F58" s="171" t="n">
        <v>3.38</v>
      </c>
      <c r="G58" s="206" t="n">
        <v>0.915</v>
      </c>
    </row>
    <row r="59" customFormat="false" ht="15" hidden="false" customHeight="false" outlineLevel="0" collapsed="false">
      <c r="A59" s="164" t="s">
        <v>428</v>
      </c>
      <c r="B59" s="165" t="s">
        <v>132</v>
      </c>
      <c r="C59" s="164" t="s">
        <v>11</v>
      </c>
      <c r="D59" s="165" t="s">
        <v>21</v>
      </c>
      <c r="E59" s="165" t="s">
        <v>427</v>
      </c>
      <c r="F59" s="167" t="n">
        <v>4.57</v>
      </c>
      <c r="G59" s="205" t="n">
        <v>0.838</v>
      </c>
    </row>
    <row r="60" customFormat="false" ht="15" hidden="false" customHeight="false" outlineLevel="0" collapsed="false">
      <c r="A60" s="168" t="s">
        <v>64</v>
      </c>
      <c r="B60" s="169" t="s">
        <v>65</v>
      </c>
      <c r="C60" s="168" t="s">
        <v>11</v>
      </c>
      <c r="D60" s="169" t="s">
        <v>21</v>
      </c>
      <c r="E60" s="169" t="s">
        <v>429</v>
      </c>
      <c r="F60" s="171" t="n">
        <v>3.82</v>
      </c>
      <c r="G60" s="206" t="n">
        <v>0.611</v>
      </c>
    </row>
    <row r="61" customFormat="false" ht="15" hidden="false" customHeight="false" outlineLevel="0" collapsed="false">
      <c r="A61" s="164" t="s">
        <v>92</v>
      </c>
      <c r="B61" s="165" t="s">
        <v>93</v>
      </c>
      <c r="C61" s="164" t="s">
        <v>11</v>
      </c>
      <c r="D61" s="165" t="s">
        <v>22</v>
      </c>
      <c r="E61" s="165" t="s">
        <v>430</v>
      </c>
      <c r="F61" s="167" t="n">
        <v>3.37</v>
      </c>
      <c r="G61" s="205" t="n">
        <v>0.959</v>
      </c>
    </row>
    <row r="62" customFormat="false" ht="15" hidden="false" customHeight="false" outlineLevel="0" collapsed="false">
      <c r="A62" s="168" t="s">
        <v>70</v>
      </c>
      <c r="B62" s="169" t="s">
        <v>71</v>
      </c>
      <c r="C62" s="168" t="s">
        <v>11</v>
      </c>
      <c r="D62" s="169" t="s">
        <v>22</v>
      </c>
      <c r="E62" s="169" t="s">
        <v>430</v>
      </c>
      <c r="F62" s="171" t="n">
        <v>3.54</v>
      </c>
      <c r="G62" s="206" t="n">
        <v>0.939</v>
      </c>
    </row>
    <row r="63" customFormat="false" ht="15" hidden="false" customHeight="false" outlineLevel="0" collapsed="false">
      <c r="A63" s="164" t="s">
        <v>431</v>
      </c>
      <c r="B63" s="165" t="s">
        <v>432</v>
      </c>
      <c r="C63" s="164" t="s">
        <v>11</v>
      </c>
      <c r="D63" s="165" t="s">
        <v>22</v>
      </c>
      <c r="E63" s="165" t="s">
        <v>433</v>
      </c>
      <c r="F63" s="167" t="n">
        <v>3.99</v>
      </c>
      <c r="G63" s="205" t="n">
        <v>0.627</v>
      </c>
    </row>
    <row r="64" customFormat="false" ht="15" hidden="false" customHeight="false" outlineLevel="0" collapsed="false">
      <c r="A64" s="168" t="s">
        <v>435</v>
      </c>
      <c r="B64" s="169" t="s">
        <v>436</v>
      </c>
      <c r="C64" s="168" t="s">
        <v>11</v>
      </c>
      <c r="D64" s="169" t="s">
        <v>22</v>
      </c>
      <c r="E64" s="169" t="s">
        <v>433</v>
      </c>
      <c r="F64" s="171" t="n">
        <v>4.36</v>
      </c>
      <c r="G64" s="206" t="n">
        <v>0.636</v>
      </c>
    </row>
    <row r="65" customFormat="false" ht="15" hidden="false" customHeight="false" outlineLevel="0" collapsed="false">
      <c r="A65" s="164" t="s">
        <v>438</v>
      </c>
      <c r="B65" s="165" t="s">
        <v>439</v>
      </c>
      <c r="C65" s="164" t="s">
        <v>11</v>
      </c>
      <c r="D65" s="165" t="s">
        <v>22</v>
      </c>
      <c r="E65" s="165" t="s">
        <v>430</v>
      </c>
      <c r="F65" s="167" t="n">
        <v>3.91</v>
      </c>
      <c r="G65" s="205" t="n">
        <v>0.764</v>
      </c>
    </row>
    <row r="66" customFormat="false" ht="15" hidden="false" customHeight="false" outlineLevel="0" collapsed="false">
      <c r="A66" s="168" t="s">
        <v>60</v>
      </c>
      <c r="B66" s="169" t="s">
        <v>61</v>
      </c>
      <c r="C66" s="168" t="s">
        <v>11</v>
      </c>
      <c r="D66" s="169" t="s">
        <v>22</v>
      </c>
      <c r="E66" s="169" t="s">
        <v>440</v>
      </c>
      <c r="F66" s="171" t="n">
        <v>3.18</v>
      </c>
      <c r="G66" s="206" t="n">
        <v>0.722</v>
      </c>
    </row>
    <row r="67" customFormat="false" ht="15" hidden="false" customHeight="false" outlineLevel="0" collapsed="false">
      <c r="A67" s="164" t="s">
        <v>58</v>
      </c>
      <c r="B67" s="165" t="s">
        <v>59</v>
      </c>
      <c r="C67" s="164" t="s">
        <v>11</v>
      </c>
      <c r="D67" s="165" t="s">
        <v>23</v>
      </c>
      <c r="E67" s="165" t="s">
        <v>441</v>
      </c>
      <c r="F67" s="167" t="n">
        <v>3.48</v>
      </c>
      <c r="G67" s="205" t="n">
        <v>0.945</v>
      </c>
    </row>
    <row r="68" customFormat="false" ht="15" hidden="false" customHeight="false" outlineLevel="0" collapsed="false">
      <c r="A68" s="168" t="s">
        <v>94</v>
      </c>
      <c r="B68" s="169" t="s">
        <v>95</v>
      </c>
      <c r="C68" s="168" t="s">
        <v>11</v>
      </c>
      <c r="D68" s="169" t="s">
        <v>23</v>
      </c>
      <c r="E68" s="169" t="s">
        <v>441</v>
      </c>
      <c r="F68" s="171" t="n">
        <v>3.13</v>
      </c>
      <c r="G68" s="206" t="n">
        <v>0.863</v>
      </c>
    </row>
    <row r="69" customFormat="false" ht="15" hidden="false" customHeight="false" outlineLevel="0" collapsed="false">
      <c r="A69" s="164" t="s">
        <v>444</v>
      </c>
      <c r="B69" s="165" t="s">
        <v>445</v>
      </c>
      <c r="C69" s="164" t="s">
        <v>11</v>
      </c>
      <c r="D69" s="165" t="s">
        <v>23</v>
      </c>
      <c r="E69" s="165" t="s">
        <v>441</v>
      </c>
      <c r="F69" s="167" t="n">
        <v>3.37</v>
      </c>
      <c r="G69" s="205" t="n">
        <v>0.789</v>
      </c>
    </row>
    <row r="70" customFormat="false" ht="15" hidden="false" customHeight="false" outlineLevel="0" collapsed="false">
      <c r="A70" s="168" t="s">
        <v>446</v>
      </c>
      <c r="B70" s="169" t="s">
        <v>134</v>
      </c>
      <c r="C70" s="168" t="s">
        <v>11</v>
      </c>
      <c r="D70" s="169" t="s">
        <v>23</v>
      </c>
      <c r="E70" s="169" t="s">
        <v>441</v>
      </c>
      <c r="F70" s="171" t="n">
        <v>3.73</v>
      </c>
      <c r="G70" s="206" t="n">
        <v>0.684</v>
      </c>
    </row>
    <row r="71" customFormat="false" ht="15" hidden="false" customHeight="false" outlineLevel="0" collapsed="false">
      <c r="A71" s="164" t="s">
        <v>447</v>
      </c>
      <c r="B71" s="165" t="s">
        <v>448</v>
      </c>
      <c r="C71" s="164" t="s">
        <v>11</v>
      </c>
      <c r="D71" s="165" t="s">
        <v>23</v>
      </c>
      <c r="E71" s="165" t="s">
        <v>449</v>
      </c>
      <c r="F71" s="167" t="n">
        <v>3.52</v>
      </c>
      <c r="G71" s="205" t="n">
        <v>0.768</v>
      </c>
    </row>
    <row r="72" customFormat="false" ht="15" hidden="false" customHeight="false" outlineLevel="0" collapsed="false">
      <c r="A72" s="168" t="s">
        <v>158</v>
      </c>
      <c r="B72" s="169" t="s">
        <v>128</v>
      </c>
      <c r="C72" s="168" t="s">
        <v>11</v>
      </c>
      <c r="D72" s="169" t="s">
        <v>24</v>
      </c>
      <c r="E72" s="169" t="s">
        <v>450</v>
      </c>
      <c r="F72" s="171" t="n">
        <v>3.39</v>
      </c>
      <c r="G72" s="206" t="n">
        <v>0.806</v>
      </c>
    </row>
    <row r="73" customFormat="false" ht="15" hidden="false" customHeight="false" outlineLevel="0" collapsed="false">
      <c r="A73" s="164" t="s">
        <v>159</v>
      </c>
      <c r="B73" s="165" t="s">
        <v>160</v>
      </c>
      <c r="C73" s="164" t="s">
        <v>11</v>
      </c>
      <c r="D73" s="165" t="s">
        <v>24</v>
      </c>
      <c r="E73" s="165" t="s">
        <v>451</v>
      </c>
      <c r="F73" s="167" t="n">
        <v>3.45</v>
      </c>
      <c r="G73" s="205" t="n">
        <v>0.754</v>
      </c>
    </row>
    <row r="74" customFormat="false" ht="15" hidden="false" customHeight="false" outlineLevel="0" collapsed="false">
      <c r="A74" s="168" t="s">
        <v>452</v>
      </c>
      <c r="B74" s="169" t="s">
        <v>453</v>
      </c>
      <c r="C74" s="168" t="s">
        <v>11</v>
      </c>
      <c r="D74" s="169" t="s">
        <v>24</v>
      </c>
      <c r="E74" s="169" t="s">
        <v>450</v>
      </c>
      <c r="F74" s="171" t="n">
        <v>4.06</v>
      </c>
      <c r="G74" s="206" t="n">
        <v>0.68</v>
      </c>
    </row>
    <row r="75" customFormat="false" ht="15" hidden="false" customHeight="false" outlineLevel="0" collapsed="false">
      <c r="A75" s="164" t="s">
        <v>454</v>
      </c>
      <c r="B75" s="165" t="s">
        <v>455</v>
      </c>
      <c r="C75" s="164" t="s">
        <v>11</v>
      </c>
      <c r="D75" s="165" t="s">
        <v>24</v>
      </c>
      <c r="E75" s="165" t="s">
        <v>451</v>
      </c>
      <c r="F75" s="167" t="n">
        <v>4.79</v>
      </c>
      <c r="G75" s="205" t="n">
        <v>0.898</v>
      </c>
    </row>
    <row r="76" customFormat="false" ht="15" hidden="false" customHeight="false" outlineLevel="0" collapsed="false">
      <c r="A76" s="168" t="s">
        <v>456</v>
      </c>
      <c r="B76" s="169" t="s">
        <v>69</v>
      </c>
      <c r="C76" s="168" t="s">
        <v>11</v>
      </c>
      <c r="D76" s="169" t="s">
        <v>24</v>
      </c>
      <c r="E76" s="169" t="s">
        <v>451</v>
      </c>
      <c r="F76" s="171" t="n">
        <v>3.41</v>
      </c>
      <c r="G76" s="206" t="n">
        <v>0.603</v>
      </c>
    </row>
    <row r="77" customFormat="false" ht="15" hidden="false" customHeight="false" outlineLevel="0" collapsed="false">
      <c r="A77" s="164" t="s">
        <v>458</v>
      </c>
      <c r="B77" s="165" t="s">
        <v>459</v>
      </c>
      <c r="C77" s="164" t="s">
        <v>11</v>
      </c>
      <c r="D77" s="165" t="s">
        <v>24</v>
      </c>
      <c r="E77" s="165" t="s">
        <v>451</v>
      </c>
      <c r="F77" s="167" t="n">
        <v>4.37</v>
      </c>
      <c r="G77" s="205" t="n">
        <v>0.65</v>
      </c>
    </row>
    <row r="78" customFormat="false" ht="15" hidden="false" customHeight="false" outlineLevel="0" collapsed="false">
      <c r="A78" s="168" t="s">
        <v>460</v>
      </c>
      <c r="B78" s="169" t="s">
        <v>461</v>
      </c>
      <c r="C78" s="168" t="s">
        <v>11</v>
      </c>
      <c r="D78" s="169" t="s">
        <v>24</v>
      </c>
      <c r="E78" s="169" t="s">
        <v>462</v>
      </c>
      <c r="F78" s="171" t="n">
        <v>3.57</v>
      </c>
      <c r="G78" s="206" t="n">
        <v>0.795</v>
      </c>
    </row>
    <row r="79" customFormat="false" ht="15" hidden="false" customHeight="false" outlineLevel="0" collapsed="false">
      <c r="A79" s="164" t="s">
        <v>463</v>
      </c>
      <c r="B79" s="165" t="s">
        <v>464</v>
      </c>
      <c r="C79" s="164" t="s">
        <v>11</v>
      </c>
      <c r="D79" s="165" t="s">
        <v>24</v>
      </c>
      <c r="E79" s="165" t="s">
        <v>462</v>
      </c>
      <c r="F79" s="167" t="n">
        <v>4.17</v>
      </c>
      <c r="G79" s="205" t="n">
        <v>0.628</v>
      </c>
    </row>
    <row r="80" customFormat="false" ht="15" hidden="false" customHeight="false" outlineLevel="0" collapsed="false">
      <c r="A80" s="168" t="s">
        <v>66</v>
      </c>
      <c r="B80" s="169" t="s">
        <v>67</v>
      </c>
      <c r="C80" s="168" t="s">
        <v>11</v>
      </c>
      <c r="D80" s="169" t="s">
        <v>25</v>
      </c>
      <c r="E80" s="169" t="s">
        <v>465</v>
      </c>
      <c r="F80" s="171" t="n">
        <v>4.61</v>
      </c>
      <c r="G80" s="206" t="n">
        <v>0.77</v>
      </c>
    </row>
    <row r="81" customFormat="false" ht="15" hidden="false" customHeight="false" outlineLevel="0" collapsed="false">
      <c r="A81" s="164" t="s">
        <v>88</v>
      </c>
      <c r="B81" s="165" t="s">
        <v>89</v>
      </c>
      <c r="C81" s="164" t="s">
        <v>11</v>
      </c>
      <c r="D81" s="165" t="s">
        <v>25</v>
      </c>
      <c r="E81" s="165" t="s">
        <v>466</v>
      </c>
      <c r="F81" s="167" t="n">
        <v>3.77</v>
      </c>
      <c r="G81" s="205" t="n">
        <v>0.936</v>
      </c>
    </row>
    <row r="82" customFormat="false" ht="15" hidden="false" customHeight="false" outlineLevel="0" collapsed="false">
      <c r="A82" s="168" t="s">
        <v>467</v>
      </c>
      <c r="B82" s="169" t="s">
        <v>468</v>
      </c>
      <c r="C82" s="168" t="s">
        <v>11</v>
      </c>
      <c r="D82" s="169" t="s">
        <v>25</v>
      </c>
      <c r="E82" s="169" t="s">
        <v>466</v>
      </c>
      <c r="F82" s="171" t="n">
        <v>4.01</v>
      </c>
      <c r="G82" s="206" t="n">
        <v>0.877</v>
      </c>
    </row>
    <row r="83" customFormat="false" ht="15" hidden="false" customHeight="false" outlineLevel="0" collapsed="false">
      <c r="A83" s="164" t="s">
        <v>469</v>
      </c>
      <c r="B83" s="165" t="s">
        <v>470</v>
      </c>
      <c r="C83" s="164" t="s">
        <v>11</v>
      </c>
      <c r="D83" s="165" t="s">
        <v>25</v>
      </c>
      <c r="E83" s="165" t="s">
        <v>466</v>
      </c>
      <c r="F83" s="167" t="n">
        <v>3.68</v>
      </c>
      <c r="G83" s="205" t="n">
        <v>0.758</v>
      </c>
    </row>
    <row r="84" customFormat="false" ht="15" hidden="false" customHeight="false" outlineLevel="0" collapsed="false">
      <c r="A84" s="168" t="s">
        <v>472</v>
      </c>
      <c r="B84" s="169" t="s">
        <v>473</v>
      </c>
      <c r="C84" s="168" t="s">
        <v>11</v>
      </c>
      <c r="D84" s="169" t="s">
        <v>25</v>
      </c>
      <c r="E84" s="169" t="s">
        <v>466</v>
      </c>
      <c r="F84" s="171" t="n">
        <v>4.83</v>
      </c>
      <c r="G84" s="206" t="n">
        <v>0.913</v>
      </c>
    </row>
    <row r="85" customFormat="false" ht="15" hidden="false" customHeight="false" outlineLevel="0" collapsed="false">
      <c r="A85" s="164" t="s">
        <v>474</v>
      </c>
      <c r="B85" s="165" t="s">
        <v>475</v>
      </c>
      <c r="C85" s="164" t="s">
        <v>11</v>
      </c>
      <c r="D85" s="165" t="s">
        <v>25</v>
      </c>
      <c r="E85" s="165" t="s">
        <v>476</v>
      </c>
      <c r="F85" s="167" t="n">
        <v>3.74</v>
      </c>
      <c r="G85" s="205" t="n">
        <v>0.634</v>
      </c>
    </row>
    <row r="86" customFormat="false" ht="15" hidden="false" customHeight="false" outlineLevel="0" collapsed="false">
      <c r="A86" s="168" t="s">
        <v>480</v>
      </c>
      <c r="B86" s="169" t="s">
        <v>481</v>
      </c>
      <c r="C86" s="168" t="s">
        <v>12</v>
      </c>
      <c r="D86" s="169" t="s">
        <v>15</v>
      </c>
      <c r="E86" s="169" t="s">
        <v>293</v>
      </c>
      <c r="F86" s="171" t="n">
        <v>4.57</v>
      </c>
      <c r="G86" s="206" t="n">
        <v>0.77</v>
      </c>
    </row>
    <row r="87" customFormat="false" ht="15" hidden="false" customHeight="false" outlineLevel="0" collapsed="false">
      <c r="A87" s="164" t="s">
        <v>482</v>
      </c>
      <c r="B87" s="165" t="s">
        <v>122</v>
      </c>
      <c r="C87" s="164" t="s">
        <v>12</v>
      </c>
      <c r="D87" s="165" t="s">
        <v>16</v>
      </c>
      <c r="E87" s="165" t="s">
        <v>298</v>
      </c>
      <c r="F87" s="167" t="n">
        <v>3.64</v>
      </c>
      <c r="G87" s="205" t="n">
        <v>0.754</v>
      </c>
    </row>
    <row r="88" customFormat="false" ht="15" hidden="false" customHeight="false" outlineLevel="0" collapsed="false">
      <c r="A88" s="168" t="s">
        <v>483</v>
      </c>
      <c r="B88" s="169" t="s">
        <v>484</v>
      </c>
      <c r="C88" s="168" t="s">
        <v>12</v>
      </c>
      <c r="D88" s="169" t="s">
        <v>20</v>
      </c>
      <c r="E88" s="169" t="s">
        <v>301</v>
      </c>
      <c r="F88" s="171" t="n">
        <v>3.45</v>
      </c>
      <c r="G88" s="206" t="n">
        <v>0.686</v>
      </c>
    </row>
    <row r="89" customFormat="false" ht="15" hidden="false" customHeight="false" outlineLevel="0" collapsed="false">
      <c r="A89" s="164" t="s">
        <v>485</v>
      </c>
      <c r="B89" s="165" t="s">
        <v>486</v>
      </c>
      <c r="C89" s="164" t="s">
        <v>12</v>
      </c>
      <c r="D89" s="165" t="s">
        <v>21</v>
      </c>
      <c r="E89" s="165" t="s">
        <v>305</v>
      </c>
      <c r="F89" s="167" t="n">
        <v>4.44</v>
      </c>
      <c r="G89" s="205" t="n">
        <v>0.799</v>
      </c>
    </row>
    <row r="90" customFormat="false" ht="15" hidden="false" customHeight="false" outlineLevel="0" collapsed="false">
      <c r="A90" s="168" t="s">
        <v>488</v>
      </c>
      <c r="B90" s="169" t="s">
        <v>489</v>
      </c>
      <c r="C90" s="168" t="s">
        <v>12</v>
      </c>
      <c r="D90" s="169" t="s">
        <v>22</v>
      </c>
      <c r="E90" s="169" t="s">
        <v>309</v>
      </c>
      <c r="F90" s="171" t="n">
        <v>3.04</v>
      </c>
      <c r="G90" s="206" t="n">
        <v>0.676</v>
      </c>
    </row>
    <row r="91" customFormat="false" ht="15" hidden="false" customHeight="false" outlineLevel="0" collapsed="false">
      <c r="A91" s="164" t="s">
        <v>490</v>
      </c>
      <c r="B91" s="165" t="s">
        <v>491</v>
      </c>
      <c r="C91" s="164" t="s">
        <v>12</v>
      </c>
      <c r="D91" s="165" t="s">
        <v>23</v>
      </c>
      <c r="E91" s="165" t="s">
        <v>313</v>
      </c>
      <c r="F91" s="167" t="n">
        <v>4.43</v>
      </c>
      <c r="G91" s="205" t="n">
        <v>0.884</v>
      </c>
    </row>
    <row r="92" customFormat="false" ht="15" hidden="false" customHeight="false" outlineLevel="0" collapsed="false">
      <c r="A92" s="168" t="s">
        <v>492</v>
      </c>
      <c r="B92" s="169" t="s">
        <v>493</v>
      </c>
      <c r="C92" s="168" t="s">
        <v>12</v>
      </c>
      <c r="D92" s="169" t="s">
        <v>15</v>
      </c>
      <c r="E92" s="169" t="s">
        <v>325</v>
      </c>
      <c r="F92" s="171" t="n">
        <v>4.52</v>
      </c>
      <c r="G92" s="206" t="n">
        <v>0.692</v>
      </c>
    </row>
    <row r="93" customFormat="false" ht="15" hidden="false" customHeight="false" outlineLevel="0" collapsed="false">
      <c r="A93" s="164" t="s">
        <v>494</v>
      </c>
      <c r="B93" s="165" t="s">
        <v>495</v>
      </c>
      <c r="C93" s="164" t="s">
        <v>12</v>
      </c>
      <c r="D93" s="165" t="s">
        <v>16</v>
      </c>
      <c r="E93" s="165" t="s">
        <v>334</v>
      </c>
      <c r="F93" s="167" t="n">
        <v>3.11</v>
      </c>
      <c r="G93" s="205" t="n">
        <v>0.668</v>
      </c>
    </row>
    <row r="94" customFormat="false" ht="15" hidden="false" customHeight="false" outlineLevel="0" collapsed="false">
      <c r="A94" s="168" t="s">
        <v>496</v>
      </c>
      <c r="B94" s="169" t="s">
        <v>114</v>
      </c>
      <c r="C94" s="168" t="s">
        <v>12</v>
      </c>
      <c r="D94" s="169" t="s">
        <v>16</v>
      </c>
      <c r="E94" s="169" t="s">
        <v>334</v>
      </c>
      <c r="F94" s="171" t="n">
        <v>3.12</v>
      </c>
      <c r="G94" s="206" t="n">
        <v>0.669</v>
      </c>
    </row>
    <row r="95" customFormat="false" ht="15" hidden="false" customHeight="false" outlineLevel="0" collapsed="false">
      <c r="A95" s="164" t="s">
        <v>497</v>
      </c>
      <c r="B95" s="165" t="s">
        <v>498</v>
      </c>
      <c r="C95" s="164" t="s">
        <v>12</v>
      </c>
      <c r="D95" s="165" t="s">
        <v>20</v>
      </c>
      <c r="E95" s="165" t="s">
        <v>340</v>
      </c>
      <c r="F95" s="167" t="n">
        <v>4.42</v>
      </c>
      <c r="G95" s="205" t="n">
        <v>0.781</v>
      </c>
    </row>
    <row r="96" customFormat="false" ht="15" hidden="false" customHeight="false" outlineLevel="0" collapsed="false">
      <c r="A96" s="168" t="s">
        <v>499</v>
      </c>
      <c r="B96" s="169" t="s">
        <v>500</v>
      </c>
      <c r="C96" s="168" t="s">
        <v>12</v>
      </c>
      <c r="D96" s="169" t="s">
        <v>20</v>
      </c>
      <c r="E96" s="169" t="s">
        <v>340</v>
      </c>
      <c r="F96" s="171" t="n">
        <v>3.98</v>
      </c>
      <c r="G96" s="206" t="n">
        <v>0.866</v>
      </c>
    </row>
    <row r="97" customFormat="false" ht="15" hidden="false" customHeight="false" outlineLevel="0" collapsed="false">
      <c r="A97" s="164" t="s">
        <v>501</v>
      </c>
      <c r="B97" s="165" t="s">
        <v>502</v>
      </c>
      <c r="C97" s="164" t="s">
        <v>12</v>
      </c>
      <c r="D97" s="165" t="s">
        <v>21</v>
      </c>
      <c r="E97" s="165" t="s">
        <v>349</v>
      </c>
      <c r="F97" s="167" t="n">
        <v>4.65</v>
      </c>
      <c r="G97" s="205" t="n">
        <v>0.937</v>
      </c>
    </row>
    <row r="98" customFormat="false" ht="15" hidden="false" customHeight="false" outlineLevel="0" collapsed="false">
      <c r="A98" s="168" t="s">
        <v>503</v>
      </c>
      <c r="B98" s="169" t="s">
        <v>504</v>
      </c>
      <c r="C98" s="168" t="s">
        <v>12</v>
      </c>
      <c r="D98" s="169" t="s">
        <v>21</v>
      </c>
      <c r="E98" s="169" t="s">
        <v>349</v>
      </c>
      <c r="F98" s="171" t="n">
        <v>4.12</v>
      </c>
      <c r="G98" s="206" t="n">
        <v>0.772</v>
      </c>
    </row>
    <row r="99" customFormat="false" ht="15" hidden="false" customHeight="false" outlineLevel="0" collapsed="false">
      <c r="A99" s="164" t="s">
        <v>505</v>
      </c>
      <c r="B99" s="165" t="s">
        <v>126</v>
      </c>
      <c r="C99" s="164" t="s">
        <v>12</v>
      </c>
      <c r="D99" s="165" t="s">
        <v>22</v>
      </c>
      <c r="E99" s="165" t="s">
        <v>357</v>
      </c>
      <c r="F99" s="167" t="n">
        <v>3.78</v>
      </c>
      <c r="G99" s="205" t="n">
        <v>0.911</v>
      </c>
    </row>
    <row r="100" customFormat="false" ht="15" hidden="false" customHeight="false" outlineLevel="0" collapsed="false">
      <c r="A100" s="168" t="s">
        <v>506</v>
      </c>
      <c r="B100" s="169" t="s">
        <v>504</v>
      </c>
      <c r="C100" s="168" t="s">
        <v>12</v>
      </c>
      <c r="D100" s="169" t="s">
        <v>23</v>
      </c>
      <c r="E100" s="169" t="s">
        <v>365</v>
      </c>
      <c r="F100" s="171" t="n">
        <v>4.04</v>
      </c>
      <c r="G100" s="206" t="n">
        <v>0.798</v>
      </c>
    </row>
    <row r="101" customFormat="false" ht="15" hidden="false" customHeight="false" outlineLevel="0" collapsed="false">
      <c r="A101" s="164" t="s">
        <v>507</v>
      </c>
      <c r="B101" s="165" t="s">
        <v>508</v>
      </c>
      <c r="C101" s="164" t="s">
        <v>12</v>
      </c>
      <c r="D101" s="165" t="s">
        <v>23</v>
      </c>
      <c r="E101" s="165" t="s">
        <v>365</v>
      </c>
      <c r="F101" s="167" t="n">
        <v>3.45</v>
      </c>
      <c r="G101" s="205" t="n">
        <v>0.615</v>
      </c>
    </row>
    <row r="102" customFormat="false" ht="15" hidden="false" customHeight="false" outlineLevel="0" collapsed="false">
      <c r="A102" s="168" t="s">
        <v>86</v>
      </c>
      <c r="B102" s="169" t="s">
        <v>87</v>
      </c>
      <c r="C102" s="168" t="s">
        <v>12</v>
      </c>
      <c r="D102" s="169" t="s">
        <v>15</v>
      </c>
      <c r="E102" s="169" t="s">
        <v>387</v>
      </c>
      <c r="F102" s="171" t="n">
        <v>3.57</v>
      </c>
      <c r="G102" s="206" t="n">
        <v>0.63</v>
      </c>
    </row>
    <row r="103" customFormat="false" ht="15" hidden="false" customHeight="false" outlineLevel="0" collapsed="false">
      <c r="A103" s="164" t="s">
        <v>510</v>
      </c>
      <c r="B103" s="165" t="s">
        <v>511</v>
      </c>
      <c r="C103" s="164" t="s">
        <v>12</v>
      </c>
      <c r="D103" s="165" t="s">
        <v>15</v>
      </c>
      <c r="E103" s="165" t="s">
        <v>387</v>
      </c>
      <c r="F103" s="167" t="n">
        <v>4.61</v>
      </c>
      <c r="G103" s="205" t="n">
        <v>0.84</v>
      </c>
    </row>
    <row r="104" customFormat="false" ht="15" hidden="false" customHeight="false" outlineLevel="0" collapsed="false">
      <c r="A104" s="168" t="s">
        <v>82</v>
      </c>
      <c r="B104" s="169" t="s">
        <v>83</v>
      </c>
      <c r="C104" s="168" t="s">
        <v>12</v>
      </c>
      <c r="D104" s="169" t="s">
        <v>16</v>
      </c>
      <c r="E104" s="169" t="s">
        <v>398</v>
      </c>
      <c r="F104" s="171" t="n">
        <v>3.86</v>
      </c>
      <c r="G104" s="206" t="n">
        <v>0.826</v>
      </c>
    </row>
    <row r="105" customFormat="false" ht="15" hidden="false" customHeight="false" outlineLevel="0" collapsed="false">
      <c r="A105" s="164" t="s">
        <v>512</v>
      </c>
      <c r="B105" s="165" t="s">
        <v>513</v>
      </c>
      <c r="C105" s="164" t="s">
        <v>12</v>
      </c>
      <c r="D105" s="165" t="s">
        <v>16</v>
      </c>
      <c r="E105" s="165" t="s">
        <v>398</v>
      </c>
      <c r="F105" s="167" t="n">
        <v>4.8</v>
      </c>
      <c r="G105" s="205" t="n">
        <v>0.775</v>
      </c>
    </row>
    <row r="106" customFormat="false" ht="15" hidden="false" customHeight="false" outlineLevel="0" collapsed="false">
      <c r="A106" s="168" t="s">
        <v>514</v>
      </c>
      <c r="B106" s="169" t="s">
        <v>515</v>
      </c>
      <c r="C106" s="168" t="s">
        <v>12</v>
      </c>
      <c r="D106" s="169" t="s">
        <v>16</v>
      </c>
      <c r="E106" s="169" t="s">
        <v>398</v>
      </c>
      <c r="F106" s="171" t="n">
        <v>4.5</v>
      </c>
      <c r="G106" s="206" t="n">
        <v>0.725</v>
      </c>
    </row>
    <row r="107" customFormat="false" ht="15" hidden="false" customHeight="false" outlineLevel="0" collapsed="false">
      <c r="A107" s="164" t="s">
        <v>516</v>
      </c>
      <c r="B107" s="165" t="s">
        <v>517</v>
      </c>
      <c r="C107" s="164" t="s">
        <v>12</v>
      </c>
      <c r="D107" s="165" t="s">
        <v>16</v>
      </c>
      <c r="E107" s="165" t="s">
        <v>398</v>
      </c>
      <c r="F107" s="167" t="n">
        <v>3.8</v>
      </c>
      <c r="G107" s="205" t="n">
        <v>0.974</v>
      </c>
    </row>
    <row r="108" customFormat="false" ht="15" hidden="false" customHeight="false" outlineLevel="0" collapsed="false">
      <c r="A108" s="168" t="s">
        <v>519</v>
      </c>
      <c r="B108" s="169" t="s">
        <v>520</v>
      </c>
      <c r="C108" s="168" t="s">
        <v>12</v>
      </c>
      <c r="D108" s="169" t="s">
        <v>16</v>
      </c>
      <c r="E108" s="169" t="s">
        <v>407</v>
      </c>
      <c r="F108" s="171" t="n">
        <v>3.4</v>
      </c>
      <c r="G108" s="206" t="n">
        <v>0.983</v>
      </c>
    </row>
    <row r="109" customFormat="false" ht="15" hidden="false" customHeight="false" outlineLevel="0" collapsed="false">
      <c r="A109" s="164" t="s">
        <v>96</v>
      </c>
      <c r="B109" s="165" t="s">
        <v>97</v>
      </c>
      <c r="C109" s="164" t="s">
        <v>12</v>
      </c>
      <c r="D109" s="165" t="s">
        <v>20</v>
      </c>
      <c r="E109" s="165" t="s">
        <v>410</v>
      </c>
      <c r="F109" s="167" t="n">
        <v>2.98</v>
      </c>
      <c r="G109" s="205" t="n">
        <v>0.615</v>
      </c>
    </row>
    <row r="110" customFormat="false" ht="15" hidden="false" customHeight="false" outlineLevel="0" collapsed="false">
      <c r="A110" s="168" t="s">
        <v>521</v>
      </c>
      <c r="B110" s="169" t="s">
        <v>522</v>
      </c>
      <c r="C110" s="168" t="s">
        <v>12</v>
      </c>
      <c r="D110" s="169" t="s">
        <v>20</v>
      </c>
      <c r="E110" s="169" t="s">
        <v>410</v>
      </c>
      <c r="F110" s="171" t="n">
        <v>4.29</v>
      </c>
      <c r="G110" s="206" t="n">
        <v>0.804</v>
      </c>
    </row>
    <row r="111" customFormat="false" ht="15" hidden="false" customHeight="false" outlineLevel="0" collapsed="false">
      <c r="A111" s="164" t="s">
        <v>523</v>
      </c>
      <c r="B111" s="165" t="s">
        <v>524</v>
      </c>
      <c r="C111" s="164" t="s">
        <v>12</v>
      </c>
      <c r="D111" s="165" t="s">
        <v>20</v>
      </c>
      <c r="E111" s="165" t="s">
        <v>413</v>
      </c>
      <c r="F111" s="167" t="n">
        <v>4.08</v>
      </c>
      <c r="G111" s="205" t="n">
        <v>0.745</v>
      </c>
    </row>
    <row r="112" customFormat="false" ht="15" hidden="false" customHeight="false" outlineLevel="0" collapsed="false">
      <c r="A112" s="168" t="s">
        <v>156</v>
      </c>
      <c r="B112" s="169" t="s">
        <v>157</v>
      </c>
      <c r="C112" s="168" t="s">
        <v>12</v>
      </c>
      <c r="D112" s="169" t="s">
        <v>20</v>
      </c>
      <c r="E112" s="169" t="s">
        <v>417</v>
      </c>
      <c r="F112" s="171" t="n">
        <v>3.07</v>
      </c>
      <c r="G112" s="206" t="n">
        <v>0.902</v>
      </c>
    </row>
    <row r="113" customFormat="false" ht="15" hidden="false" customHeight="false" outlineLevel="0" collapsed="false">
      <c r="A113" s="164" t="s">
        <v>525</v>
      </c>
      <c r="B113" s="165" t="s">
        <v>526</v>
      </c>
      <c r="C113" s="164" t="s">
        <v>12</v>
      </c>
      <c r="D113" s="165" t="s">
        <v>21</v>
      </c>
      <c r="E113" s="165" t="s">
        <v>419</v>
      </c>
      <c r="F113" s="167" t="n">
        <v>4.23</v>
      </c>
      <c r="G113" s="205" t="n">
        <v>0.908</v>
      </c>
    </row>
    <row r="114" customFormat="false" ht="15" hidden="false" customHeight="false" outlineLevel="0" collapsed="false">
      <c r="A114" s="168" t="s">
        <v>527</v>
      </c>
      <c r="B114" s="169" t="s">
        <v>528</v>
      </c>
      <c r="C114" s="168" t="s">
        <v>12</v>
      </c>
      <c r="D114" s="169" t="s">
        <v>21</v>
      </c>
      <c r="E114" s="169" t="s">
        <v>419</v>
      </c>
      <c r="F114" s="171" t="n">
        <v>4.16</v>
      </c>
      <c r="G114" s="206" t="n">
        <v>0.729</v>
      </c>
    </row>
    <row r="115" customFormat="false" ht="15" hidden="false" customHeight="false" outlineLevel="0" collapsed="false">
      <c r="A115" s="164" t="s">
        <v>529</v>
      </c>
      <c r="B115" s="165" t="s">
        <v>530</v>
      </c>
      <c r="C115" s="164" t="s">
        <v>12</v>
      </c>
      <c r="D115" s="165" t="s">
        <v>22</v>
      </c>
      <c r="E115" s="165" t="s">
        <v>430</v>
      </c>
      <c r="F115" s="167" t="n">
        <v>3.97</v>
      </c>
      <c r="G115" s="205" t="n">
        <v>0.711</v>
      </c>
    </row>
    <row r="116" customFormat="false" ht="15" hidden="false" customHeight="false" outlineLevel="0" collapsed="false">
      <c r="A116" s="168" t="s">
        <v>531</v>
      </c>
      <c r="B116" s="169" t="s">
        <v>532</v>
      </c>
      <c r="C116" s="168" t="s">
        <v>12</v>
      </c>
      <c r="D116" s="169" t="s">
        <v>22</v>
      </c>
      <c r="E116" s="169" t="s">
        <v>430</v>
      </c>
      <c r="F116" s="171" t="n">
        <v>4.32</v>
      </c>
      <c r="G116" s="206" t="n">
        <v>0.73</v>
      </c>
    </row>
    <row r="117" customFormat="false" ht="15" hidden="false" customHeight="false" outlineLevel="0" collapsed="false">
      <c r="A117" s="164" t="s">
        <v>533</v>
      </c>
      <c r="B117" s="165" t="s">
        <v>534</v>
      </c>
      <c r="C117" s="164" t="s">
        <v>12</v>
      </c>
      <c r="D117" s="165" t="s">
        <v>22</v>
      </c>
      <c r="E117" s="165" t="s">
        <v>430</v>
      </c>
      <c r="F117" s="167" t="n">
        <v>4.02</v>
      </c>
      <c r="G117" s="205" t="n">
        <v>0.958</v>
      </c>
    </row>
    <row r="118" customFormat="false" ht="15" hidden="false" customHeight="false" outlineLevel="0" collapsed="false">
      <c r="A118" s="168" t="s">
        <v>535</v>
      </c>
      <c r="B118" s="169" t="s">
        <v>536</v>
      </c>
      <c r="C118" s="168" t="s">
        <v>12</v>
      </c>
      <c r="D118" s="169" t="s">
        <v>22</v>
      </c>
      <c r="E118" s="169" t="s">
        <v>430</v>
      </c>
      <c r="F118" s="171" t="n">
        <v>3.45</v>
      </c>
      <c r="G118" s="206" t="n">
        <v>0.65</v>
      </c>
    </row>
    <row r="119" customFormat="false" ht="15" hidden="false" customHeight="false" outlineLevel="0" collapsed="false">
      <c r="A119" s="164" t="s">
        <v>537</v>
      </c>
      <c r="B119" s="165" t="s">
        <v>538</v>
      </c>
      <c r="C119" s="164" t="s">
        <v>12</v>
      </c>
      <c r="D119" s="165" t="s">
        <v>23</v>
      </c>
      <c r="E119" s="165" t="s">
        <v>441</v>
      </c>
      <c r="F119" s="167" t="n">
        <v>4.29</v>
      </c>
      <c r="G119" s="205" t="n">
        <v>0.721</v>
      </c>
    </row>
    <row r="120" customFormat="false" ht="15" hidden="false" customHeight="false" outlineLevel="0" collapsed="false">
      <c r="A120" s="168" t="s">
        <v>539</v>
      </c>
      <c r="B120" s="169" t="s">
        <v>540</v>
      </c>
      <c r="C120" s="168" t="s">
        <v>12</v>
      </c>
      <c r="D120" s="169" t="s">
        <v>23</v>
      </c>
      <c r="E120" s="169" t="s">
        <v>441</v>
      </c>
      <c r="F120" s="171" t="n">
        <v>3.59</v>
      </c>
      <c r="G120" s="206" t="n">
        <v>0.917</v>
      </c>
    </row>
  </sheetData>
  <autoFilter ref="A4:G120"/>
  <mergeCells count="2">
    <mergeCell ref="A1:G1"/>
    <mergeCell ref="A2:G2"/>
  </mergeCells>
  <conditionalFormatting sqref="F5:F120">
    <cfRule type="colorScale" priority="2">
      <colorScale>
        <cfvo type="num" val="1"/>
        <cfvo type="num" val="3"/>
        <cfvo type="num" val="5"/>
        <color rgb="FFF87171"/>
        <color rgb="FFFBBF24"/>
        <color rgb="FF10B981"/>
      </colorScale>
    </cfRule>
  </conditionalFormatting>
  <conditionalFormatting sqref="G5:G120">
    <cfRule type="dataBar" priority="3">
      <dataBar showValue="1" minLength="10" maxLength="90">
        <cfvo type="num" val="0"/>
        <cfvo type="num" val="1"/>
        <color rgb="FF2EBFA5"/>
      </dataBar>
      <extLst>
        <ext xmlns:x14="http://schemas.microsoft.com/office/spreadsheetml/2009/9/main" uri="{B025F937-C7B1-47D3-B67F-A62EFF666E3E}">
          <x14:id>{95AFB8E9-CB70-4CBA-AF57-9750CC6C10BF}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AFB8E9-CB70-4CBA-AF57-9750CC6C10B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BFA5"/>
              <x14:axisColor rgb="FF000000"/>
            </x14:dataBar>
          </x14:cfRule>
          <xm:sqref>G5:G120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45"/>
  </cols>
  <sheetData>
    <row r="1" customFormat="false" ht="31.5" hidden="false" customHeight="true" outlineLevel="0" collapsed="false">
      <c r="A1" s="207" t="s">
        <v>1962</v>
      </c>
      <c r="B1" s="207"/>
      <c r="C1" s="207"/>
      <c r="D1" s="207"/>
      <c r="E1" s="207"/>
      <c r="F1" s="207"/>
      <c r="G1" s="207"/>
      <c r="H1" s="207"/>
      <c r="I1" s="207"/>
      <c r="J1" s="207"/>
    </row>
    <row r="2" customFormat="false" ht="24" hidden="false" customHeight="true" outlineLevel="0" collapsed="false">
      <c r="A2" s="162" t="s">
        <v>1963</v>
      </c>
      <c r="B2" s="162"/>
      <c r="C2" s="162"/>
      <c r="D2" s="162"/>
      <c r="E2" s="162"/>
      <c r="F2" s="162"/>
      <c r="G2" s="162"/>
      <c r="H2" s="162"/>
      <c r="I2" s="162"/>
      <c r="J2" s="162"/>
    </row>
    <row r="4" customFormat="false" ht="31.5" hidden="false" customHeight="true" outlineLevel="0" collapsed="false">
      <c r="A4" s="208" t="s">
        <v>103</v>
      </c>
      <c r="B4" s="208" t="s">
        <v>282</v>
      </c>
      <c r="C4" s="208" t="s">
        <v>1964</v>
      </c>
      <c r="D4" s="208" t="s">
        <v>1953</v>
      </c>
      <c r="E4" s="208" t="s">
        <v>10</v>
      </c>
      <c r="F4" s="208" t="s">
        <v>1965</v>
      </c>
      <c r="G4" s="208" t="s">
        <v>1937</v>
      </c>
      <c r="H4" s="208" t="s">
        <v>1966</v>
      </c>
      <c r="I4" s="208" t="s">
        <v>107</v>
      </c>
      <c r="J4" s="208" t="s">
        <v>1967</v>
      </c>
    </row>
    <row r="5" customFormat="false" ht="15" hidden="false" customHeight="false" outlineLevel="0" collapsed="false">
      <c r="A5" s="209" t="s">
        <v>1968</v>
      </c>
      <c r="B5" s="209" t="s">
        <v>488</v>
      </c>
      <c r="C5" s="210" t="s">
        <v>489</v>
      </c>
      <c r="D5" s="209" t="s">
        <v>12</v>
      </c>
      <c r="E5" s="210" t="s">
        <v>22</v>
      </c>
      <c r="F5" s="210" t="s">
        <v>1969</v>
      </c>
      <c r="G5" s="209" t="s">
        <v>176</v>
      </c>
      <c r="H5" s="211" t="n">
        <v>46155</v>
      </c>
      <c r="I5" s="209" t="s">
        <v>112</v>
      </c>
      <c r="J5" s="210" t="s">
        <v>1970</v>
      </c>
    </row>
    <row r="6" customFormat="false" ht="15" hidden="false" customHeight="false" outlineLevel="0" collapsed="false">
      <c r="A6" s="212" t="s">
        <v>113</v>
      </c>
      <c r="B6" s="212" t="s">
        <v>496</v>
      </c>
      <c r="C6" s="213" t="s">
        <v>114</v>
      </c>
      <c r="D6" s="212" t="s">
        <v>12</v>
      </c>
      <c r="E6" s="213" t="s">
        <v>16</v>
      </c>
      <c r="F6" s="213" t="s">
        <v>115</v>
      </c>
      <c r="G6" s="212" t="s">
        <v>111</v>
      </c>
      <c r="H6" s="214" t="n">
        <v>45761</v>
      </c>
      <c r="I6" s="212" t="s">
        <v>116</v>
      </c>
      <c r="J6" s="213" t="s">
        <v>1971</v>
      </c>
    </row>
    <row r="7" customFormat="false" ht="15" hidden="false" customHeight="false" outlineLevel="0" collapsed="false">
      <c r="A7" s="209" t="s">
        <v>1972</v>
      </c>
      <c r="B7" s="209" t="s">
        <v>523</v>
      </c>
      <c r="C7" s="210" t="s">
        <v>524</v>
      </c>
      <c r="D7" s="209" t="s">
        <v>12</v>
      </c>
      <c r="E7" s="210" t="s">
        <v>20</v>
      </c>
      <c r="F7" s="210" t="s">
        <v>120</v>
      </c>
      <c r="G7" s="209" t="s">
        <v>176</v>
      </c>
      <c r="H7" s="211" t="n">
        <v>46197</v>
      </c>
      <c r="I7" s="209" t="s">
        <v>112</v>
      </c>
      <c r="J7" s="210" t="s">
        <v>1973</v>
      </c>
    </row>
    <row r="8" customFormat="false" ht="15" hidden="false" customHeight="false" outlineLevel="0" collapsed="false">
      <c r="A8" s="212" t="s">
        <v>125</v>
      </c>
      <c r="B8" s="212" t="s">
        <v>505</v>
      </c>
      <c r="C8" s="213" t="s">
        <v>126</v>
      </c>
      <c r="D8" s="212" t="s">
        <v>12</v>
      </c>
      <c r="E8" s="213" t="s">
        <v>22</v>
      </c>
      <c r="F8" s="213" t="s">
        <v>120</v>
      </c>
      <c r="G8" s="212" t="s">
        <v>123</v>
      </c>
      <c r="H8" s="214" t="n">
        <v>46269</v>
      </c>
      <c r="I8" s="212" t="s">
        <v>124</v>
      </c>
      <c r="J8" s="213" t="s">
        <v>1970</v>
      </c>
    </row>
    <row r="9" customFormat="false" ht="15" hidden="false" customHeight="false" outlineLevel="0" collapsed="false">
      <c r="A9" s="209" t="s">
        <v>1974</v>
      </c>
      <c r="B9" s="209" t="s">
        <v>492</v>
      </c>
      <c r="C9" s="210" t="s">
        <v>493</v>
      </c>
      <c r="D9" s="209" t="s">
        <v>12</v>
      </c>
      <c r="E9" s="210" t="s">
        <v>15</v>
      </c>
      <c r="F9" s="210" t="s">
        <v>115</v>
      </c>
      <c r="G9" s="209" t="s">
        <v>176</v>
      </c>
      <c r="H9" s="211" t="n">
        <v>46297</v>
      </c>
      <c r="I9" s="209" t="s">
        <v>116</v>
      </c>
      <c r="J9" s="210" t="s">
        <v>1970</v>
      </c>
    </row>
    <row r="10" customFormat="false" ht="15" hidden="false" customHeight="false" outlineLevel="0" collapsed="false">
      <c r="A10" s="212" t="s">
        <v>127</v>
      </c>
      <c r="B10" s="212" t="s">
        <v>158</v>
      </c>
      <c r="C10" s="213" t="s">
        <v>128</v>
      </c>
      <c r="D10" s="212" t="s">
        <v>11</v>
      </c>
      <c r="E10" s="213" t="s">
        <v>24</v>
      </c>
      <c r="F10" s="213" t="s">
        <v>129</v>
      </c>
      <c r="G10" s="212" t="s">
        <v>123</v>
      </c>
      <c r="H10" s="214" t="n">
        <v>46078</v>
      </c>
      <c r="I10" s="212" t="s">
        <v>124</v>
      </c>
      <c r="J10" s="213" t="s">
        <v>1975</v>
      </c>
    </row>
    <row r="11" customFormat="false" ht="15" hidden="false" customHeight="false" outlineLevel="0" collapsed="false">
      <c r="A11" s="209" t="s">
        <v>1976</v>
      </c>
      <c r="B11" s="209" t="s">
        <v>332</v>
      </c>
      <c r="C11" s="210" t="s">
        <v>333</v>
      </c>
      <c r="D11" s="209" t="s">
        <v>11</v>
      </c>
      <c r="E11" s="210" t="s">
        <v>16</v>
      </c>
      <c r="F11" s="210" t="s">
        <v>115</v>
      </c>
      <c r="G11" s="209" t="s">
        <v>176</v>
      </c>
      <c r="H11" s="211" t="n">
        <v>46283</v>
      </c>
      <c r="I11" s="209" t="s">
        <v>124</v>
      </c>
      <c r="J11" s="210" t="s">
        <v>1975</v>
      </c>
    </row>
    <row r="12" customFormat="false" ht="15" hidden="false" customHeight="false" outlineLevel="0" collapsed="false">
      <c r="A12" s="212" t="s">
        <v>121</v>
      </c>
      <c r="B12" s="212" t="s">
        <v>482</v>
      </c>
      <c r="C12" s="213" t="s">
        <v>122</v>
      </c>
      <c r="D12" s="212" t="s">
        <v>12</v>
      </c>
      <c r="E12" s="213" t="s">
        <v>16</v>
      </c>
      <c r="F12" s="213" t="s">
        <v>120</v>
      </c>
      <c r="G12" s="212" t="s">
        <v>123</v>
      </c>
      <c r="H12" s="214" t="n">
        <v>46204</v>
      </c>
      <c r="I12" s="212" t="s">
        <v>112</v>
      </c>
      <c r="J12" s="213" t="s">
        <v>1977</v>
      </c>
    </row>
    <row r="13" customFormat="false" ht="15" hidden="false" customHeight="false" outlineLevel="0" collapsed="false">
      <c r="A13" s="209" t="s">
        <v>131</v>
      </c>
      <c r="B13" s="209" t="s">
        <v>428</v>
      </c>
      <c r="C13" s="210" t="s">
        <v>132</v>
      </c>
      <c r="D13" s="209" t="s">
        <v>11</v>
      </c>
      <c r="E13" s="210" t="s">
        <v>21</v>
      </c>
      <c r="F13" s="210" t="s">
        <v>120</v>
      </c>
      <c r="G13" s="209" t="s">
        <v>123</v>
      </c>
      <c r="H13" s="211" t="n">
        <v>45856</v>
      </c>
      <c r="I13" s="209" t="s">
        <v>124</v>
      </c>
      <c r="J13" s="210" t="s">
        <v>1971</v>
      </c>
    </row>
    <row r="14" customFormat="false" ht="15" hidden="false" customHeight="false" outlineLevel="0" collapsed="false">
      <c r="A14" s="212" t="s">
        <v>133</v>
      </c>
      <c r="B14" s="212" t="s">
        <v>446</v>
      </c>
      <c r="C14" s="213" t="s">
        <v>134</v>
      </c>
      <c r="D14" s="212" t="s">
        <v>11</v>
      </c>
      <c r="E14" s="213" t="s">
        <v>23</v>
      </c>
      <c r="F14" s="213" t="s">
        <v>135</v>
      </c>
      <c r="G14" s="212" t="s">
        <v>123</v>
      </c>
      <c r="H14" s="214" t="n">
        <v>45946</v>
      </c>
      <c r="I14" s="212" t="s">
        <v>116</v>
      </c>
      <c r="J14" s="213" t="s">
        <v>1971</v>
      </c>
    </row>
    <row r="15" customFormat="false" ht="15" hidden="false" customHeight="false" outlineLevel="0" collapsed="false">
      <c r="A15" s="209" t="s">
        <v>1978</v>
      </c>
      <c r="B15" s="209" t="s">
        <v>414</v>
      </c>
      <c r="C15" s="210" t="s">
        <v>415</v>
      </c>
      <c r="D15" s="209" t="s">
        <v>11</v>
      </c>
      <c r="E15" s="210" t="s">
        <v>20</v>
      </c>
      <c r="F15" s="210" t="s">
        <v>110</v>
      </c>
      <c r="G15" s="209" t="s">
        <v>123</v>
      </c>
      <c r="H15" s="211" t="n">
        <v>45823</v>
      </c>
      <c r="I15" s="209" t="s">
        <v>116</v>
      </c>
      <c r="J15" s="210" t="s">
        <v>1977</v>
      </c>
    </row>
    <row r="16" customFormat="false" ht="15" hidden="false" customHeight="false" outlineLevel="0" collapsed="false">
      <c r="A16" s="212" t="s">
        <v>108</v>
      </c>
      <c r="B16" s="212" t="s">
        <v>300</v>
      </c>
      <c r="C16" s="213" t="s">
        <v>109</v>
      </c>
      <c r="D16" s="212" t="s">
        <v>11</v>
      </c>
      <c r="E16" s="213" t="s">
        <v>20</v>
      </c>
      <c r="F16" s="213" t="s">
        <v>110</v>
      </c>
      <c r="G16" s="212" t="s">
        <v>111</v>
      </c>
      <c r="H16" s="214" t="n">
        <v>45914</v>
      </c>
      <c r="I16" s="212" t="s">
        <v>112</v>
      </c>
      <c r="J16" s="213" t="s">
        <v>1979</v>
      </c>
    </row>
    <row r="17" customFormat="false" ht="15" hidden="false" customHeight="false" outlineLevel="0" collapsed="false">
      <c r="A17" s="209" t="s">
        <v>1980</v>
      </c>
      <c r="B17" s="209" t="s">
        <v>402</v>
      </c>
      <c r="C17" s="210" t="s">
        <v>403</v>
      </c>
      <c r="D17" s="209" t="s">
        <v>11</v>
      </c>
      <c r="E17" s="210" t="s">
        <v>16</v>
      </c>
      <c r="F17" s="210" t="s">
        <v>120</v>
      </c>
      <c r="G17" s="209" t="s">
        <v>123</v>
      </c>
      <c r="H17" s="211" t="n">
        <v>45763</v>
      </c>
      <c r="I17" s="209" t="s">
        <v>116</v>
      </c>
      <c r="J17" s="210" t="s">
        <v>1971</v>
      </c>
    </row>
    <row r="18" customFormat="false" ht="15" hidden="false" customHeight="false" outlineLevel="0" collapsed="false">
      <c r="A18" s="212" t="s">
        <v>118</v>
      </c>
      <c r="B18" s="212" t="s">
        <v>367</v>
      </c>
      <c r="C18" s="213" t="s">
        <v>119</v>
      </c>
      <c r="D18" s="212" t="s">
        <v>11</v>
      </c>
      <c r="E18" s="213" t="s">
        <v>23</v>
      </c>
      <c r="F18" s="213" t="s">
        <v>120</v>
      </c>
      <c r="G18" s="212" t="s">
        <v>111</v>
      </c>
      <c r="H18" s="214" t="n">
        <v>45743</v>
      </c>
      <c r="I18" s="212" t="s">
        <v>116</v>
      </c>
      <c r="J18" s="213" t="s">
        <v>1973</v>
      </c>
    </row>
    <row r="19" customFormat="false" ht="15" hidden="false" customHeight="false" outlineLevel="0" collapsed="false">
      <c r="A19" s="209" t="s">
        <v>1981</v>
      </c>
      <c r="B19" s="209" t="s">
        <v>376</v>
      </c>
      <c r="C19" s="210" t="s">
        <v>377</v>
      </c>
      <c r="D19" s="209" t="s">
        <v>11</v>
      </c>
      <c r="E19" s="210" t="s">
        <v>25</v>
      </c>
      <c r="F19" s="210" t="s">
        <v>135</v>
      </c>
      <c r="G19" s="209" t="s">
        <v>176</v>
      </c>
      <c r="H19" s="211" t="n">
        <v>45808</v>
      </c>
      <c r="I19" s="209" t="s">
        <v>116</v>
      </c>
      <c r="J19" s="210" t="s">
        <v>1982</v>
      </c>
    </row>
  </sheetData>
  <autoFilter ref="A4:J19"/>
  <mergeCells count="2">
    <mergeCell ref="A1:J1"/>
    <mergeCell ref="A2:J2"/>
  </mergeCells>
  <conditionalFormatting sqref="G5:G49">
    <cfRule type="expression" priority="2" aboveAverage="0" equalAverage="0" bottom="0" percent="0" rank="0" text="" dxfId="21">
      <formula>$G5="High"</formula>
    </cfRule>
    <cfRule type="expression" priority="3" aboveAverage="0" equalAverage="0" bottom="0" percent="0" rank="0" text="" dxfId="22">
      <formula>$G5="Medium"</formula>
    </cfRule>
    <cfRule type="expression" priority="4" aboveAverage="0" equalAverage="0" bottom="0" percent="0" rank="0" text="" dxfId="123">
      <formula>$G5="Low"</formula>
    </cfRule>
  </conditionalFormatting>
  <conditionalFormatting sqref="I5:I49">
    <cfRule type="expression" priority="5" aboveAverage="0" equalAverage="0" bottom="0" percent="0" rank="0" text="" dxfId="20">
      <formula>$I5="Open"</formula>
    </cfRule>
    <cfRule type="expression" priority="6" aboveAverage="0" equalAverage="0" bottom="0" percent="0" rank="0" text="" dxfId="18">
      <formula>$I5="Under Review"</formula>
    </cfRule>
    <cfRule type="expression" priority="7" aboveAverage="0" equalAverage="0" bottom="0" percent="0" rank="0" text="" dxfId="19">
      <formula>$I5="Mitigation in Progress"</formula>
    </cfRule>
    <cfRule type="expression" priority="8" aboveAverage="0" equalAverage="0" bottom="0" percent="0" rank="0" text="" dxfId="17">
      <formula>$I5="Closed"</formula>
    </cfRule>
  </conditionalFormatting>
  <dataValidations count="2">
    <dataValidation allowBlank="false" errorStyle="stop" operator="between" showDropDown="false" showErrorMessage="false" showInputMessage="false" sqref="G5:G49" type="list">
      <formula1>"High,Medium,Low"</formula1>
      <formula2>0</formula2>
    </dataValidation>
    <dataValidation allowBlank="false" errorStyle="stop" operator="between" showDropDown="false" showErrorMessage="false" showInputMessage="false" sqref="I5:I49" type="list">
      <formula1>"Open,Under Review,Mitigation 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61" t="s">
        <v>1983</v>
      </c>
      <c r="B1" s="161"/>
      <c r="C1" s="161"/>
      <c r="D1" s="161"/>
      <c r="E1" s="161"/>
      <c r="F1" s="161"/>
      <c r="G1" s="161"/>
      <c r="H1" s="161"/>
      <c r="I1" s="161"/>
      <c r="J1" s="161"/>
    </row>
    <row r="2" customFormat="false" ht="24" hidden="false" customHeight="true" outlineLevel="0" collapsed="false">
      <c r="A2" s="162" t="s">
        <v>1984</v>
      </c>
      <c r="B2" s="162"/>
      <c r="C2" s="162"/>
      <c r="D2" s="162"/>
      <c r="E2" s="162"/>
      <c r="F2" s="162"/>
      <c r="G2" s="162"/>
      <c r="H2" s="162"/>
      <c r="I2" s="162"/>
      <c r="J2" s="162"/>
    </row>
    <row r="4" customFormat="false" ht="31.5" hidden="false" customHeight="true" outlineLevel="0" collapsed="false">
      <c r="A4" s="163" t="s">
        <v>282</v>
      </c>
      <c r="B4" s="163" t="s">
        <v>51</v>
      </c>
      <c r="C4" s="163" t="s">
        <v>1953</v>
      </c>
      <c r="D4" s="163" t="s">
        <v>10</v>
      </c>
      <c r="E4" s="163" t="s">
        <v>283</v>
      </c>
      <c r="F4" s="163" t="s">
        <v>286</v>
      </c>
      <c r="G4" s="163" t="s">
        <v>1985</v>
      </c>
      <c r="H4" s="163" t="s">
        <v>288</v>
      </c>
      <c r="I4" s="163" t="s">
        <v>1986</v>
      </c>
      <c r="J4" s="163" t="s">
        <v>29</v>
      </c>
    </row>
    <row r="5" customFormat="false" ht="15" hidden="false" customHeight="false" outlineLevel="0" collapsed="false">
      <c r="A5" s="164" t="s">
        <v>1987</v>
      </c>
      <c r="B5" s="165" t="s">
        <v>1988</v>
      </c>
      <c r="C5" s="164" t="s">
        <v>11</v>
      </c>
      <c r="D5" s="165" t="s">
        <v>15</v>
      </c>
      <c r="E5" s="165" t="s">
        <v>325</v>
      </c>
      <c r="F5" s="166" t="n">
        <v>44248</v>
      </c>
      <c r="G5" s="166" t="n">
        <v>45758</v>
      </c>
      <c r="H5" s="167" t="n">
        <f aca="false">ROUND((G5-F5)/365.25,2)</f>
        <v>4.13</v>
      </c>
      <c r="I5" s="165" t="s">
        <v>1989</v>
      </c>
      <c r="J5" s="164" t="str">
        <f aca="false">"Q"&amp;ROUNDUP(MONTH(G5)/3,0)&amp;"-"&amp;YEAR(G5)</f>
        <v>Q2-2025</v>
      </c>
    </row>
    <row r="6" customFormat="false" ht="15" hidden="false" customHeight="false" outlineLevel="0" collapsed="false">
      <c r="A6" s="168" t="s">
        <v>1990</v>
      </c>
      <c r="B6" s="169" t="s">
        <v>1991</v>
      </c>
      <c r="C6" s="168" t="s">
        <v>12</v>
      </c>
      <c r="D6" s="169" t="s">
        <v>21</v>
      </c>
      <c r="E6" s="169" t="s">
        <v>349</v>
      </c>
      <c r="F6" s="170" t="n">
        <v>45416</v>
      </c>
      <c r="G6" s="170" t="n">
        <v>45830</v>
      </c>
      <c r="H6" s="171" t="n">
        <f aca="false">ROUND((G6-F6)/365.25,2)</f>
        <v>1.13</v>
      </c>
      <c r="I6" s="169" t="s">
        <v>1992</v>
      </c>
      <c r="J6" s="168" t="str">
        <f aca="false">"Q"&amp;ROUNDUP(MONTH(G6)/3,0)&amp;"-"&amp;YEAR(G6)</f>
        <v>Q2-2025</v>
      </c>
    </row>
    <row r="7" customFormat="false" ht="15" hidden="false" customHeight="false" outlineLevel="0" collapsed="false">
      <c r="A7" s="164" t="s">
        <v>1993</v>
      </c>
      <c r="B7" s="165" t="s">
        <v>1994</v>
      </c>
      <c r="C7" s="164" t="s">
        <v>11</v>
      </c>
      <c r="D7" s="165" t="s">
        <v>22</v>
      </c>
      <c r="E7" s="165" t="s">
        <v>433</v>
      </c>
      <c r="F7" s="166" t="n">
        <v>45122</v>
      </c>
      <c r="G7" s="166" t="n">
        <v>45836</v>
      </c>
      <c r="H7" s="167" t="n">
        <f aca="false">ROUND((G7-F7)/365.25,2)</f>
        <v>1.95</v>
      </c>
      <c r="I7" s="165" t="s">
        <v>1989</v>
      </c>
      <c r="J7" s="164" t="str">
        <f aca="false">"Q"&amp;ROUNDUP(MONTH(G7)/3,0)&amp;"-"&amp;YEAR(G7)</f>
        <v>Q2-2025</v>
      </c>
    </row>
    <row r="8" customFormat="false" ht="15" hidden="false" customHeight="false" outlineLevel="0" collapsed="false">
      <c r="A8" s="168" t="s">
        <v>1995</v>
      </c>
      <c r="B8" s="169" t="s">
        <v>1996</v>
      </c>
      <c r="C8" s="168" t="s">
        <v>11</v>
      </c>
      <c r="D8" s="169" t="s">
        <v>25</v>
      </c>
      <c r="E8" s="169" t="s">
        <v>378</v>
      </c>
      <c r="F8" s="170" t="n">
        <v>45640</v>
      </c>
      <c r="G8" s="170" t="n">
        <v>45792</v>
      </c>
      <c r="H8" s="171" t="n">
        <f aca="false">ROUND((G8-F8)/365.25,2)</f>
        <v>0.42</v>
      </c>
      <c r="I8" s="169" t="s">
        <v>1997</v>
      </c>
      <c r="J8" s="168" t="str">
        <f aca="false">"Q"&amp;ROUNDUP(MONTH(G8)/3,0)&amp;"-"&amp;YEAR(G8)</f>
        <v>Q2-2025</v>
      </c>
    </row>
    <row r="9" customFormat="false" ht="15" hidden="false" customHeight="false" outlineLevel="0" collapsed="false">
      <c r="A9" s="164" t="s">
        <v>1998</v>
      </c>
      <c r="B9" s="165" t="s">
        <v>1999</v>
      </c>
      <c r="C9" s="164" t="s">
        <v>12</v>
      </c>
      <c r="D9" s="165" t="s">
        <v>23</v>
      </c>
      <c r="E9" s="165" t="s">
        <v>365</v>
      </c>
      <c r="F9" s="166" t="n">
        <v>45324</v>
      </c>
      <c r="G9" s="166" t="n">
        <v>45782</v>
      </c>
      <c r="H9" s="167" t="n">
        <f aca="false">ROUND((G9-F9)/365.25,2)</f>
        <v>1.25</v>
      </c>
      <c r="I9" s="165" t="s">
        <v>2000</v>
      </c>
      <c r="J9" s="164" t="str">
        <f aca="false">"Q"&amp;ROUNDUP(MONTH(G9)/3,0)&amp;"-"&amp;YEAR(G9)</f>
        <v>Q2-2025</v>
      </c>
    </row>
    <row r="10" customFormat="false" ht="15" hidden="false" customHeight="false" outlineLevel="0" collapsed="false">
      <c r="A10" s="168" t="s">
        <v>2001</v>
      </c>
      <c r="B10" s="169" t="s">
        <v>2002</v>
      </c>
      <c r="C10" s="168" t="s">
        <v>11</v>
      </c>
      <c r="D10" s="169" t="s">
        <v>16</v>
      </c>
      <c r="E10" s="169" t="s">
        <v>334</v>
      </c>
      <c r="F10" s="170" t="n">
        <v>44224</v>
      </c>
      <c r="G10" s="170" t="n">
        <v>45863</v>
      </c>
      <c r="H10" s="171" t="n">
        <f aca="false">ROUND((G10-F10)/365.25,2)</f>
        <v>4.49</v>
      </c>
      <c r="I10" s="169" t="s">
        <v>1989</v>
      </c>
      <c r="J10" s="168" t="str">
        <f aca="false">"Q"&amp;ROUNDUP(MONTH(G10)/3,0)&amp;"-"&amp;YEAR(G10)</f>
        <v>Q3-2025</v>
      </c>
    </row>
    <row r="11" customFormat="false" ht="15" hidden="false" customHeight="false" outlineLevel="0" collapsed="false">
      <c r="A11" s="164" t="s">
        <v>2003</v>
      </c>
      <c r="B11" s="165" t="s">
        <v>2004</v>
      </c>
      <c r="C11" s="164" t="s">
        <v>12</v>
      </c>
      <c r="D11" s="165" t="s">
        <v>22</v>
      </c>
      <c r="E11" s="165" t="s">
        <v>433</v>
      </c>
      <c r="F11" s="166" t="n">
        <v>44261</v>
      </c>
      <c r="G11" s="166" t="n">
        <v>45876</v>
      </c>
      <c r="H11" s="167" t="n">
        <f aca="false">ROUND((G11-F11)/365.25,2)</f>
        <v>4.42</v>
      </c>
      <c r="I11" s="165" t="s">
        <v>1989</v>
      </c>
      <c r="J11" s="164" t="str">
        <f aca="false">"Q"&amp;ROUNDUP(MONTH(G11)/3,0)&amp;"-"&amp;YEAR(G11)</f>
        <v>Q3-2025</v>
      </c>
    </row>
    <row r="12" customFormat="false" ht="15" hidden="false" customHeight="false" outlineLevel="0" collapsed="false">
      <c r="A12" s="168" t="s">
        <v>2005</v>
      </c>
      <c r="B12" s="169" t="s">
        <v>2006</v>
      </c>
      <c r="C12" s="168" t="s">
        <v>11</v>
      </c>
      <c r="D12" s="169" t="s">
        <v>20</v>
      </c>
      <c r="E12" s="169" t="s">
        <v>410</v>
      </c>
      <c r="F12" s="170" t="n">
        <v>43652</v>
      </c>
      <c r="G12" s="170" t="n">
        <v>45845</v>
      </c>
      <c r="H12" s="171" t="n">
        <f aca="false">ROUND((G12-F12)/365.25,2)</f>
        <v>6</v>
      </c>
      <c r="I12" s="169" t="s">
        <v>2007</v>
      </c>
      <c r="J12" s="168" t="str">
        <f aca="false">"Q"&amp;ROUNDUP(MONTH(G12)/3,0)&amp;"-"&amp;YEAR(G12)</f>
        <v>Q3-2025</v>
      </c>
    </row>
    <row r="13" customFormat="false" ht="15" hidden="false" customHeight="false" outlineLevel="0" collapsed="false">
      <c r="A13" s="164" t="s">
        <v>2008</v>
      </c>
      <c r="B13" s="165" t="s">
        <v>2009</v>
      </c>
      <c r="C13" s="164" t="s">
        <v>11</v>
      </c>
      <c r="D13" s="165" t="s">
        <v>16</v>
      </c>
      <c r="E13" s="165" t="s">
        <v>397</v>
      </c>
      <c r="F13" s="166" t="n">
        <v>44630</v>
      </c>
      <c r="G13" s="166" t="n">
        <v>45899</v>
      </c>
      <c r="H13" s="167" t="n">
        <f aca="false">ROUND((G13-F13)/365.25,2)</f>
        <v>3.47</v>
      </c>
      <c r="I13" s="165" t="s">
        <v>1997</v>
      </c>
      <c r="J13" s="164" t="str">
        <f aca="false">"Q"&amp;ROUNDUP(MONTH(G13)/3,0)&amp;"-"&amp;YEAR(G13)</f>
        <v>Q3-2025</v>
      </c>
    </row>
    <row r="14" customFormat="false" ht="15" hidden="false" customHeight="false" outlineLevel="0" collapsed="false">
      <c r="A14" s="168" t="s">
        <v>2010</v>
      </c>
      <c r="B14" s="169" t="s">
        <v>2011</v>
      </c>
      <c r="C14" s="168" t="s">
        <v>11</v>
      </c>
      <c r="D14" s="169" t="s">
        <v>22</v>
      </c>
      <c r="E14" s="169" t="s">
        <v>430</v>
      </c>
      <c r="F14" s="170" t="n">
        <v>43933</v>
      </c>
      <c r="G14" s="170" t="n">
        <v>45847</v>
      </c>
      <c r="H14" s="171" t="n">
        <f aca="false">ROUND((G14-F14)/365.25,2)</f>
        <v>5.24</v>
      </c>
      <c r="I14" s="169" t="s">
        <v>1997</v>
      </c>
      <c r="J14" s="168" t="str">
        <f aca="false">"Q"&amp;ROUNDUP(MONTH(G14)/3,0)&amp;"-"&amp;YEAR(G14)</f>
        <v>Q3-2025</v>
      </c>
    </row>
    <row r="15" customFormat="false" ht="15" hidden="false" customHeight="false" outlineLevel="0" collapsed="false">
      <c r="A15" s="164" t="s">
        <v>2012</v>
      </c>
      <c r="B15" s="165" t="s">
        <v>2013</v>
      </c>
      <c r="C15" s="164" t="s">
        <v>11</v>
      </c>
      <c r="D15" s="165" t="s">
        <v>20</v>
      </c>
      <c r="E15" s="165" t="s">
        <v>340</v>
      </c>
      <c r="F15" s="166" t="n">
        <v>44710</v>
      </c>
      <c r="G15" s="166" t="n">
        <v>45941</v>
      </c>
      <c r="H15" s="167" t="n">
        <f aca="false">ROUND((G15-F15)/365.25,2)</f>
        <v>3.37</v>
      </c>
      <c r="I15" s="165" t="s">
        <v>1989</v>
      </c>
      <c r="J15" s="164" t="str">
        <f aca="false">"Q"&amp;ROUNDUP(MONTH(G15)/3,0)&amp;"-"&amp;YEAR(G15)</f>
        <v>Q4-2025</v>
      </c>
    </row>
    <row r="16" customFormat="false" ht="15" hidden="false" customHeight="false" outlineLevel="0" collapsed="false">
      <c r="A16" s="168" t="s">
        <v>2014</v>
      </c>
      <c r="B16" s="169" t="s">
        <v>2015</v>
      </c>
      <c r="C16" s="168" t="s">
        <v>11</v>
      </c>
      <c r="D16" s="169" t="s">
        <v>21</v>
      </c>
      <c r="E16" s="169" t="s">
        <v>349</v>
      </c>
      <c r="F16" s="170" t="n">
        <v>45024</v>
      </c>
      <c r="G16" s="170" t="n">
        <v>45988</v>
      </c>
      <c r="H16" s="171" t="n">
        <f aca="false">ROUND((G16-F16)/365.25,2)</f>
        <v>2.64</v>
      </c>
      <c r="I16" s="169" t="s">
        <v>1997</v>
      </c>
      <c r="J16" s="168" t="str">
        <f aca="false">"Q"&amp;ROUNDUP(MONTH(G16)/3,0)&amp;"-"&amp;YEAR(G16)</f>
        <v>Q4-2025</v>
      </c>
    </row>
    <row r="17" customFormat="false" ht="15" hidden="false" customHeight="false" outlineLevel="0" collapsed="false">
      <c r="A17" s="164" t="s">
        <v>2016</v>
      </c>
      <c r="B17" s="165" t="s">
        <v>373</v>
      </c>
      <c r="C17" s="164" t="s">
        <v>11</v>
      </c>
      <c r="D17" s="165" t="s">
        <v>22</v>
      </c>
      <c r="E17" s="165" t="s">
        <v>357</v>
      </c>
      <c r="F17" s="166" t="n">
        <v>43712</v>
      </c>
      <c r="G17" s="166" t="n">
        <v>46009</v>
      </c>
      <c r="H17" s="167" t="n">
        <f aca="false">ROUND((G17-F17)/365.25,2)</f>
        <v>6.29</v>
      </c>
      <c r="I17" s="165" t="s">
        <v>1992</v>
      </c>
      <c r="J17" s="164" t="str">
        <f aca="false">"Q"&amp;ROUNDUP(MONTH(G17)/3,0)&amp;"-"&amp;YEAR(G17)</f>
        <v>Q4-2025</v>
      </c>
    </row>
    <row r="18" customFormat="false" ht="15" hidden="false" customHeight="false" outlineLevel="0" collapsed="false">
      <c r="A18" s="168" t="s">
        <v>2017</v>
      </c>
      <c r="B18" s="169" t="s">
        <v>2018</v>
      </c>
      <c r="C18" s="168" t="s">
        <v>11</v>
      </c>
      <c r="D18" s="169" t="s">
        <v>22</v>
      </c>
      <c r="E18" s="169" t="s">
        <v>357</v>
      </c>
      <c r="F18" s="170" t="n">
        <v>43798</v>
      </c>
      <c r="G18" s="170" t="n">
        <v>45951</v>
      </c>
      <c r="H18" s="171" t="n">
        <f aca="false">ROUND((G18-F18)/365.25,2)</f>
        <v>5.89</v>
      </c>
      <c r="I18" s="169" t="s">
        <v>1989</v>
      </c>
      <c r="J18" s="168" t="str">
        <f aca="false">"Q"&amp;ROUNDUP(MONTH(G18)/3,0)&amp;"-"&amp;YEAR(G18)</f>
        <v>Q4-2025</v>
      </c>
    </row>
    <row r="19" customFormat="false" ht="15" hidden="false" customHeight="false" outlineLevel="0" collapsed="false">
      <c r="A19" s="164" t="s">
        <v>2019</v>
      </c>
      <c r="B19" s="165" t="s">
        <v>2020</v>
      </c>
      <c r="C19" s="164" t="s">
        <v>11</v>
      </c>
      <c r="D19" s="165" t="s">
        <v>15</v>
      </c>
      <c r="E19" s="165" t="s">
        <v>384</v>
      </c>
      <c r="F19" s="166" t="n">
        <v>45311</v>
      </c>
      <c r="G19" s="166" t="n">
        <v>46019</v>
      </c>
      <c r="H19" s="167" t="n">
        <f aca="false">ROUND((G19-F19)/365.25,2)</f>
        <v>1.94</v>
      </c>
      <c r="I19" s="165" t="s">
        <v>2007</v>
      </c>
      <c r="J19" s="164" t="str">
        <f aca="false">"Q"&amp;ROUNDUP(MONTH(G19)/3,0)&amp;"-"&amp;YEAR(G19)</f>
        <v>Q4-2025</v>
      </c>
    </row>
    <row r="20" customFormat="false" ht="15" hidden="false" customHeight="false" outlineLevel="0" collapsed="false">
      <c r="A20" s="168" t="s">
        <v>2021</v>
      </c>
      <c r="B20" s="169" t="s">
        <v>2022</v>
      </c>
      <c r="C20" s="168" t="s">
        <v>11</v>
      </c>
      <c r="D20" s="169" t="s">
        <v>22</v>
      </c>
      <c r="E20" s="169" t="s">
        <v>357</v>
      </c>
      <c r="F20" s="170" t="n">
        <v>44624</v>
      </c>
      <c r="G20" s="170" t="n">
        <v>46020</v>
      </c>
      <c r="H20" s="171" t="n">
        <f aca="false">ROUND((G20-F20)/365.25,2)</f>
        <v>3.82</v>
      </c>
      <c r="I20" s="169" t="s">
        <v>2023</v>
      </c>
      <c r="J20" s="168" t="str">
        <f aca="false">"Q"&amp;ROUNDUP(MONTH(G20)/3,0)&amp;"-"&amp;YEAR(G20)</f>
        <v>Q4-2025</v>
      </c>
    </row>
    <row r="21" customFormat="false" ht="15" hidden="false" customHeight="false" outlineLevel="0" collapsed="false">
      <c r="A21" s="164" t="s">
        <v>2024</v>
      </c>
      <c r="B21" s="165" t="s">
        <v>2025</v>
      </c>
      <c r="C21" s="164" t="s">
        <v>11</v>
      </c>
      <c r="D21" s="165" t="s">
        <v>21</v>
      </c>
      <c r="E21" s="165" t="s">
        <v>427</v>
      </c>
      <c r="F21" s="166" t="n">
        <v>43936</v>
      </c>
      <c r="G21" s="166" t="n">
        <v>46092</v>
      </c>
      <c r="H21" s="167" t="n">
        <f aca="false">ROUND((G21-F21)/365.25,2)</f>
        <v>5.9</v>
      </c>
      <c r="I21" s="165" t="s">
        <v>1989</v>
      </c>
      <c r="J21" s="164" t="str">
        <f aca="false">"Q"&amp;ROUNDUP(MONTH(G21)/3,0)&amp;"-"&amp;YEAR(G21)</f>
        <v>Q1-2026</v>
      </c>
    </row>
    <row r="22" customFormat="false" ht="15" hidden="false" customHeight="false" outlineLevel="0" collapsed="false">
      <c r="A22" s="168" t="s">
        <v>2026</v>
      </c>
      <c r="B22" s="169" t="s">
        <v>2027</v>
      </c>
      <c r="C22" s="168" t="s">
        <v>11</v>
      </c>
      <c r="D22" s="169" t="s">
        <v>16</v>
      </c>
      <c r="E22" s="169" t="s">
        <v>397</v>
      </c>
      <c r="F22" s="170" t="n">
        <v>44145</v>
      </c>
      <c r="G22" s="170" t="n">
        <v>46062</v>
      </c>
      <c r="H22" s="171" t="n">
        <f aca="false">ROUND((G22-F22)/365.25,2)</f>
        <v>5.25</v>
      </c>
      <c r="I22" s="169" t="s">
        <v>2007</v>
      </c>
      <c r="J22" s="168" t="str">
        <f aca="false">"Q"&amp;ROUNDUP(MONTH(G22)/3,0)&amp;"-"&amp;YEAR(G22)</f>
        <v>Q1-2026</v>
      </c>
    </row>
    <row r="23" customFormat="false" ht="15" hidden="false" customHeight="false" outlineLevel="0" collapsed="false">
      <c r="A23" s="164" t="s">
        <v>2028</v>
      </c>
      <c r="B23" s="165" t="s">
        <v>2029</v>
      </c>
      <c r="C23" s="164" t="s">
        <v>12</v>
      </c>
      <c r="D23" s="165" t="s">
        <v>25</v>
      </c>
      <c r="E23" s="165" t="s">
        <v>465</v>
      </c>
      <c r="F23" s="166" t="n">
        <v>45385</v>
      </c>
      <c r="G23" s="166" t="n">
        <v>46111</v>
      </c>
      <c r="H23" s="167" t="n">
        <f aca="false">ROUND((G23-F23)/365.25,2)</f>
        <v>1.99</v>
      </c>
      <c r="I23" s="165" t="s">
        <v>2000</v>
      </c>
      <c r="J23" s="164" t="str">
        <f aca="false">"Q"&amp;ROUNDUP(MONTH(G23)/3,0)&amp;"-"&amp;YEAR(G23)</f>
        <v>Q1-2026</v>
      </c>
    </row>
    <row r="24" customFormat="false" ht="15" hidden="false" customHeight="false" outlineLevel="0" collapsed="false">
      <c r="A24" s="168" t="s">
        <v>2030</v>
      </c>
      <c r="B24" s="169" t="s">
        <v>2031</v>
      </c>
      <c r="C24" s="168" t="s">
        <v>11</v>
      </c>
      <c r="D24" s="169" t="s">
        <v>25</v>
      </c>
      <c r="E24" s="169" t="s">
        <v>466</v>
      </c>
      <c r="F24" s="170" t="n">
        <v>43795</v>
      </c>
      <c r="G24" s="170" t="n">
        <v>46099</v>
      </c>
      <c r="H24" s="171" t="n">
        <f aca="false">ROUND((G24-F24)/365.25,2)</f>
        <v>6.31</v>
      </c>
      <c r="I24" s="169" t="s">
        <v>2032</v>
      </c>
      <c r="J24" s="168" t="str">
        <f aca="false">"Q"&amp;ROUNDUP(MONTH(G24)/3,0)&amp;"-"&amp;YEAR(G24)</f>
        <v>Q1-2026</v>
      </c>
    </row>
    <row r="25" customFormat="false" ht="15" hidden="false" customHeight="false" outlineLevel="0" collapsed="false">
      <c r="A25" s="164" t="s">
        <v>2033</v>
      </c>
      <c r="B25" s="165" t="s">
        <v>2034</v>
      </c>
      <c r="C25" s="164" t="s">
        <v>12</v>
      </c>
      <c r="D25" s="165" t="s">
        <v>22</v>
      </c>
      <c r="E25" s="165" t="s">
        <v>433</v>
      </c>
      <c r="F25" s="166" t="n">
        <v>43840</v>
      </c>
      <c r="G25" s="166" t="n">
        <v>46052</v>
      </c>
      <c r="H25" s="167" t="n">
        <f aca="false">ROUND((G25-F25)/365.25,2)</f>
        <v>6.06</v>
      </c>
      <c r="I25" s="165" t="s">
        <v>1992</v>
      </c>
      <c r="J25" s="164" t="str">
        <f aca="false">"Q"&amp;ROUNDUP(MONTH(G25)/3,0)&amp;"-"&amp;YEAR(G25)</f>
        <v>Q1-2026</v>
      </c>
    </row>
    <row r="26" customFormat="false" ht="15" hidden="false" customHeight="false" outlineLevel="0" collapsed="false">
      <c r="A26" s="168" t="s">
        <v>2035</v>
      </c>
      <c r="B26" s="169" t="s">
        <v>2036</v>
      </c>
      <c r="C26" s="168" t="s">
        <v>12</v>
      </c>
      <c r="D26" s="169" t="s">
        <v>15</v>
      </c>
      <c r="E26" s="169" t="s">
        <v>325</v>
      </c>
      <c r="F26" s="170" t="n">
        <v>44569</v>
      </c>
      <c r="G26" s="170" t="n">
        <v>46096</v>
      </c>
      <c r="H26" s="171" t="n">
        <f aca="false">ROUND((G26-F26)/365.25,2)</f>
        <v>4.18</v>
      </c>
      <c r="I26" s="169" t="s">
        <v>2032</v>
      </c>
      <c r="J26" s="168" t="str">
        <f aca="false">"Q"&amp;ROUNDUP(MONTH(G26)/3,0)&amp;"-"&amp;YEAR(G26)</f>
        <v>Q1-2026</v>
      </c>
    </row>
    <row r="27" customFormat="false" ht="15" hidden="false" customHeight="false" outlineLevel="0" collapsed="false">
      <c r="A27" s="164" t="s">
        <v>2037</v>
      </c>
      <c r="B27" s="165" t="s">
        <v>2038</v>
      </c>
      <c r="C27" s="164" t="s">
        <v>11</v>
      </c>
      <c r="D27" s="165" t="s">
        <v>20</v>
      </c>
      <c r="E27" s="165" t="s">
        <v>340</v>
      </c>
      <c r="F27" s="166" t="n">
        <v>45251</v>
      </c>
      <c r="G27" s="166" t="n">
        <v>46153</v>
      </c>
      <c r="H27" s="167" t="n">
        <f aca="false">ROUND((G27-F27)/365.25,2)</f>
        <v>2.47</v>
      </c>
      <c r="I27" s="165" t="s">
        <v>2023</v>
      </c>
      <c r="J27" s="164" t="str">
        <f aca="false">"Q"&amp;ROUNDUP(MONTH(G27)/3,0)&amp;"-"&amp;YEAR(G27)</f>
        <v>Q2-2026</v>
      </c>
    </row>
    <row r="28" customFormat="false" ht="15" hidden="false" customHeight="false" outlineLevel="0" collapsed="false">
      <c r="A28" s="168" t="s">
        <v>2039</v>
      </c>
      <c r="B28" s="169" t="s">
        <v>2040</v>
      </c>
      <c r="C28" s="168" t="s">
        <v>11</v>
      </c>
      <c r="D28" s="169" t="s">
        <v>23</v>
      </c>
      <c r="E28" s="169" t="s">
        <v>441</v>
      </c>
      <c r="F28" s="170" t="n">
        <v>44831</v>
      </c>
      <c r="G28" s="170" t="n">
        <v>46133</v>
      </c>
      <c r="H28" s="171" t="n">
        <f aca="false">ROUND((G28-F28)/365.25,2)</f>
        <v>3.56</v>
      </c>
      <c r="I28" s="169" t="s">
        <v>1992</v>
      </c>
      <c r="J28" s="168" t="str">
        <f aca="false">"Q"&amp;ROUNDUP(MONTH(G28)/3,0)&amp;"-"&amp;YEAR(G28)</f>
        <v>Q2-2026</v>
      </c>
    </row>
    <row r="29" customFormat="false" ht="15" hidden="false" customHeight="false" outlineLevel="0" collapsed="false">
      <c r="A29" s="164" t="s">
        <v>2041</v>
      </c>
      <c r="B29" s="165" t="s">
        <v>2042</v>
      </c>
      <c r="C29" s="164" t="s">
        <v>11</v>
      </c>
      <c r="D29" s="165" t="s">
        <v>24</v>
      </c>
      <c r="E29" s="165" t="s">
        <v>371</v>
      </c>
      <c r="F29" s="166" t="n">
        <v>45495</v>
      </c>
      <c r="G29" s="166" t="n">
        <v>46131</v>
      </c>
      <c r="H29" s="167" t="n">
        <f aca="false">ROUND((G29-F29)/365.25,2)</f>
        <v>1.74</v>
      </c>
      <c r="I29" s="165" t="s">
        <v>1992</v>
      </c>
      <c r="J29" s="164" t="str">
        <f aca="false">"Q"&amp;ROUNDUP(MONTH(G29)/3,0)&amp;"-"&amp;YEAR(G29)</f>
        <v>Q2-2026</v>
      </c>
    </row>
    <row r="30" customFormat="false" ht="15" hidden="false" customHeight="false" outlineLevel="0" collapsed="false">
      <c r="A30" s="168" t="s">
        <v>2043</v>
      </c>
      <c r="B30" s="169" t="s">
        <v>2044</v>
      </c>
      <c r="C30" s="168" t="s">
        <v>12</v>
      </c>
      <c r="D30" s="169" t="s">
        <v>25</v>
      </c>
      <c r="E30" s="169" t="s">
        <v>465</v>
      </c>
      <c r="F30" s="170" t="n">
        <v>44754</v>
      </c>
      <c r="G30" s="170" t="n">
        <v>46129</v>
      </c>
      <c r="H30" s="171" t="n">
        <f aca="false">ROUND((G30-F30)/365.25,2)</f>
        <v>3.76</v>
      </c>
      <c r="I30" s="169" t="s">
        <v>2000</v>
      </c>
      <c r="J30" s="168" t="str">
        <f aca="false">"Q"&amp;ROUNDUP(MONTH(G30)/3,0)&amp;"-"&amp;YEAR(G30)</f>
        <v>Q2-2026</v>
      </c>
    </row>
  </sheetData>
  <autoFilter ref="A4:J30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2026-05-11T11:11:45Z</dcterms:created>
  <dc:creator>openpyxl</dc:creator>
  <dc:description/>
  <dc:language>en-US</dc:language>
  <cp:lastModifiedBy/>
  <dcterms:modified xsi:type="dcterms:W3CDTF">2026-05-11T11:11:59Z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